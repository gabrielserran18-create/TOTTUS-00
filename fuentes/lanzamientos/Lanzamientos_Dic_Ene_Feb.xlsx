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/>
  <mc:AlternateContent xmlns:mc="http://schemas.openxmlformats.org/markup-compatibility/2006">
    <mc:Choice Requires="x15">
      <x15ac:absPath xmlns:x15ac="http://schemas.microsoft.com/office/spreadsheetml/2010/11/ac" url="https://falabella-my.sharepoint.com/personal/dcruzaleguic_tottus_com_pe/Documents/Escritorio/Compartidos/"/>
    </mc:Choice>
  </mc:AlternateContent>
  <xr:revisionPtr revIDLastSave="0" documentId="8_{C78824AB-0ABA-4189-B9EC-2C9BD7D5BBAB}" xr6:coauthVersionLast="47" xr6:coauthVersionMax="47" xr10:uidLastSave="{00000000-0000-0000-0000-000000000000}"/>
  <bookViews>
    <workbookView xWindow="-108" yWindow="-108" windowWidth="23256" windowHeight="12456" firstSheet="2" activeTab="2" xr2:uid="{549A599B-D994-49CD-9D1B-9B110295DBD2}"/>
  </bookViews>
  <sheets>
    <sheet name="Base Lanzamientos 2026" sheetId="5" r:id="rId1"/>
    <sheet name="2026" sheetId="3" r:id="rId2"/>
    <sheet name="2025 Dic" sheetId="1" r:id="rId3"/>
    <sheet name="Hoja2" sheetId="2" state="hidden" r:id="rId4"/>
  </sheets>
  <definedNames>
    <definedName name="_xlnm._FilterDatabase" localSheetId="2" hidden="1">'2025 Dic'!$A$2:$L$89</definedName>
    <definedName name="_xlnm._FilterDatabase" localSheetId="1" hidden="1">'2026'!$A$2:$L$69</definedName>
    <definedName name="_xlnm._FilterDatabase" localSheetId="0" hidden="1">'Base Lanzamientos 2026'!$A$1:$N$69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5" i="5" l="1"/>
  <c r="U4" i="5"/>
  <c r="T4" i="5"/>
  <c r="Q4" i="5"/>
  <c r="U5" i="5"/>
  <c r="S5" i="5"/>
  <c r="S4" i="5"/>
  <c r="R4" i="5"/>
  <c r="T5" i="5"/>
  <c r="Q5" i="5"/>
  <c r="K3" i="5"/>
  <c r="K36" i="5"/>
  <c r="K4" i="5"/>
  <c r="K61" i="5"/>
  <c r="K5" i="5"/>
  <c r="K37" i="5"/>
  <c r="K38" i="5"/>
  <c r="K39" i="5"/>
  <c r="K40" i="5"/>
  <c r="K41" i="5"/>
  <c r="K42" i="5"/>
  <c r="K6" i="5"/>
  <c r="K7" i="5"/>
  <c r="K8" i="5"/>
  <c r="K9" i="5"/>
  <c r="K10" i="5"/>
  <c r="K11" i="5"/>
  <c r="K12" i="5"/>
  <c r="K13" i="5"/>
  <c r="K43" i="5"/>
  <c r="K44" i="5"/>
  <c r="K45" i="5"/>
  <c r="K14" i="5"/>
  <c r="K15" i="5"/>
  <c r="K16" i="5"/>
  <c r="K17" i="5"/>
  <c r="K18" i="5"/>
  <c r="K46" i="5"/>
  <c r="K47" i="5"/>
  <c r="K48" i="5"/>
  <c r="K49" i="5"/>
  <c r="K50" i="5"/>
  <c r="K51" i="5"/>
  <c r="K52" i="5"/>
  <c r="K53" i="5"/>
  <c r="K54" i="5"/>
  <c r="K55" i="5"/>
  <c r="K56" i="5"/>
  <c r="K57" i="5"/>
  <c r="K19" i="5"/>
  <c r="K20" i="5"/>
  <c r="K21" i="5"/>
  <c r="K22" i="5"/>
  <c r="K23" i="5"/>
  <c r="K24" i="5"/>
  <c r="K25" i="5"/>
  <c r="K26" i="5"/>
  <c r="K27" i="5"/>
  <c r="K28" i="5"/>
  <c r="K29" i="5"/>
  <c r="K30" i="5"/>
  <c r="K62" i="5"/>
  <c r="K63" i="5"/>
  <c r="K64" i="5"/>
  <c r="K65" i="5"/>
  <c r="K66" i="5"/>
  <c r="K67" i="5"/>
  <c r="K68" i="5"/>
  <c r="K69" i="5"/>
  <c r="K31" i="5"/>
  <c r="K32" i="5"/>
  <c r="K33" i="5"/>
  <c r="K58" i="5"/>
  <c r="K59" i="5"/>
  <c r="K34" i="5"/>
  <c r="K35" i="5"/>
  <c r="K60" i="5"/>
  <c r="K2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Gianella Araceli Vasquez Dextre</author>
  </authors>
  <commentList>
    <comment ref="L11" authorId="0" shapeId="0" xr:uid="{72E4E528-415B-4359-873A-A83EA0FBA7E2}">
      <text>
        <r>
          <rPr>
            <b/>
            <sz val="9"/>
            <color indexed="81"/>
            <rFont val="Tahoma"/>
            <family val="2"/>
          </rPr>
          <t xml:space="preserve">Murana - No aplica nuevo branding. </t>
        </r>
      </text>
    </comment>
    <comment ref="L12" authorId="0" shapeId="0" xr:uid="{38C3E678-EB2C-4547-8D69-15AFD320E747}">
      <text>
        <r>
          <rPr>
            <b/>
            <sz val="9"/>
            <color indexed="81"/>
            <rFont val="Tahoma"/>
            <family val="2"/>
          </rPr>
          <t xml:space="preserve">Murana - No aplica nuevo branding. </t>
        </r>
      </text>
    </comment>
    <comment ref="L13" authorId="0" shapeId="0" xr:uid="{D16B8E16-9EE4-4241-AE2F-7CD9B08BDD99}">
      <text>
        <r>
          <rPr>
            <b/>
            <sz val="9"/>
            <color indexed="81"/>
            <rFont val="Tahoma"/>
            <family val="2"/>
          </rPr>
          <t xml:space="preserve">Murana - No aplica nuevo branding. </t>
        </r>
      </text>
    </comment>
    <comment ref="L14" authorId="0" shapeId="0" xr:uid="{7C9910A4-692B-424B-A7EE-25326A378524}">
      <text>
        <r>
          <rPr>
            <b/>
            <sz val="9"/>
            <color indexed="81"/>
            <rFont val="Tahoma"/>
            <family val="2"/>
          </rPr>
          <t xml:space="preserve">Murana - No aplica nuevo branding. </t>
        </r>
      </text>
    </comment>
    <comment ref="L15" authorId="0" shapeId="0" xr:uid="{26A01D32-A777-4CD5-9571-9386C518D6A0}">
      <text>
        <r>
          <rPr>
            <b/>
            <sz val="9"/>
            <color indexed="81"/>
            <rFont val="Tahoma"/>
            <family val="2"/>
          </rPr>
          <t xml:space="preserve">Murana - No aplica nuevo branding. </t>
        </r>
      </text>
    </comment>
    <comment ref="L16" authorId="0" shapeId="0" xr:uid="{EEC4A14D-F16A-4BF9-8C1A-4EABAA40911C}">
      <text>
        <r>
          <rPr>
            <b/>
            <sz val="9"/>
            <color indexed="81"/>
            <rFont val="Tahoma"/>
            <family val="2"/>
          </rPr>
          <t xml:space="preserve">Murana - No aplica nuevo branding. </t>
        </r>
      </text>
    </comment>
    <comment ref="L17" authorId="0" shapeId="0" xr:uid="{DC15E7E5-1773-4E21-B4B9-C803B18B5977}">
      <text>
        <r>
          <rPr>
            <b/>
            <sz val="9"/>
            <color indexed="81"/>
            <rFont val="Tahoma"/>
            <family val="2"/>
          </rPr>
          <t xml:space="preserve">Murana - No aplica nuevo branding. </t>
        </r>
      </text>
    </comment>
    <comment ref="L18" authorId="0" shapeId="0" xr:uid="{94FBC907-C94F-4449-8592-79266AC3D1DB}">
      <text>
        <r>
          <rPr>
            <b/>
            <sz val="9"/>
            <color indexed="81"/>
            <rFont val="Tahoma"/>
            <family val="2"/>
          </rPr>
          <t xml:space="preserve">Murana - No aplica nuevo branding. </t>
        </r>
      </text>
    </comment>
    <comment ref="L19" authorId="0" shapeId="0" xr:uid="{311338E4-42ED-4732-A386-7B11272D3767}">
      <text>
        <r>
          <rPr>
            <b/>
            <sz val="9"/>
            <color indexed="81"/>
            <rFont val="Tahoma"/>
            <family val="2"/>
          </rPr>
          <t xml:space="preserve">Murana - No aplica nuevo branding. </t>
        </r>
      </text>
    </comment>
    <comment ref="L20" authorId="0" shapeId="0" xr:uid="{59F72762-C52F-42BA-A74C-139ED0980F4E}">
      <text>
        <r>
          <rPr>
            <b/>
            <sz val="9"/>
            <color indexed="81"/>
            <rFont val="Tahoma"/>
            <family val="2"/>
          </rPr>
          <t xml:space="preserve">Murana - No aplica nuevo branding. </t>
        </r>
      </text>
    </comment>
  </commentList>
</comments>
</file>

<file path=xl/sharedStrings.xml><?xml version="1.0" encoding="utf-8"?>
<sst xmlns="http://schemas.openxmlformats.org/spreadsheetml/2006/main" count="1801" uniqueCount="251">
  <si>
    <t>Responsable</t>
  </si>
  <si>
    <t>4. Clase</t>
  </si>
  <si>
    <t>5. Subclase</t>
  </si>
  <si>
    <t>N°</t>
  </si>
  <si>
    <t>SKU</t>
  </si>
  <si>
    <t>Producto</t>
  </si>
  <si>
    <t xml:space="preserve">Marca </t>
  </si>
  <si>
    <t>Tipo de SKU</t>
  </si>
  <si>
    <t>Año Lanzamiento</t>
  </si>
  <si>
    <t>Mes Lanzamiento</t>
  </si>
  <si>
    <t>Cambio Calidad</t>
  </si>
  <si>
    <t>Cambio Diseño</t>
  </si>
  <si>
    <t>Diseño es nuevo Tottus</t>
  </si>
  <si>
    <t>XIMENA</t>
  </si>
  <si>
    <t>J01010703 - CEREALES</t>
  </si>
  <si>
    <t>J0101070309 - INSUFLADOS</t>
  </si>
  <si>
    <t>ARROZ AZUCARADO TOTTUS X 150G</t>
  </si>
  <si>
    <t>TOTTUS</t>
  </si>
  <si>
    <t>NUEVO</t>
  </si>
  <si>
    <t>SI</t>
  </si>
  <si>
    <t>NO APLICA</t>
  </si>
  <si>
    <t xml:space="preserve">COCOLICHE TOTTUS X 120G </t>
  </si>
  <si>
    <t>Resumen</t>
  </si>
  <si>
    <t># SKUs</t>
  </si>
  <si>
    <t>Tottus</t>
  </si>
  <si>
    <t>Precio Uno</t>
  </si>
  <si>
    <t>Brading Nuevo Tottus</t>
  </si>
  <si>
    <t>Cump. Branding</t>
  </si>
  <si>
    <t>MAIZ ACARAMELADO TOTTUS X 140G</t>
  </si>
  <si>
    <t>Productos Nuevos</t>
  </si>
  <si>
    <t>PALOMA</t>
  </si>
  <si>
    <t>J01010502 - SNACK</t>
  </si>
  <si>
    <t>J0101050204 - MANI</t>
  </si>
  <si>
    <t>MANI CROCANTE PICANTE TOTTUS X 200 GR</t>
  </si>
  <si>
    <t>Reformulación / Innovación en producto</t>
  </si>
  <si>
    <t>J02030201 - ACCESORIOS MASCOTAS</t>
  </si>
  <si>
    <t>J0203020101 - CADENAS Y COLLARES</t>
  </si>
  <si>
    <t>Collar de perro con diseño Verano</t>
  </si>
  <si>
    <t>Correa de paseo con diseño Verano</t>
  </si>
  <si>
    <t>J0203020105 - JUGUETES</t>
  </si>
  <si>
    <t>Juguete de TPR congelable</t>
  </si>
  <si>
    <t>Freezable TPR toy</t>
  </si>
  <si>
    <t>J0203020106 - PLATO</t>
  </si>
  <si>
    <t>Plato plegable para paseo</t>
  </si>
  <si>
    <t>Juguete para perros de cuerda y TPR</t>
  </si>
  <si>
    <t>Durable Dog TPR Chewing Ring Toy</t>
  </si>
  <si>
    <t>SOFIA</t>
  </si>
  <si>
    <t>J05020403 - QUESOS REGULARES</t>
  </si>
  <si>
    <t>J0502040301 - EDAM</t>
  </si>
  <si>
    <t>QUESO GOUDA FAMILIAR TOTTUS 400G</t>
  </si>
  <si>
    <t>NO</t>
  </si>
  <si>
    <t>QUESO EDAM PRECIO UNO 180G</t>
  </si>
  <si>
    <t>PRECIO UNO</t>
  </si>
  <si>
    <t>QUESO EDAM FAMILIAR PRECIO UNO 400G</t>
  </si>
  <si>
    <t>TRIGO ACARAMELADO TOTTUS X 140G</t>
  </si>
  <si>
    <t>TRIGO ACARAMELADO X 500G TOTTUS</t>
  </si>
  <si>
    <t>J0101050209 - SALADOS</t>
  </si>
  <si>
    <t>EXTRUÍDO DE MAIZ - PRECIO UNO</t>
  </si>
  <si>
    <t>NICOLE</t>
  </si>
  <si>
    <t>J01010805 - POSTRES LISTOS</t>
  </si>
  <si>
    <t>J0101080503 - FLAN / PUDIN</t>
  </si>
  <si>
    <t>FLAN 250 GR TOTTUS</t>
  </si>
  <si>
    <t>J01010501 - FRUTOS SECOS</t>
  </si>
  <si>
    <t>J0101050109 - PASAS</t>
  </si>
  <si>
    <t>PASAS MORENAS  X 150G</t>
  </si>
  <si>
    <t>J0101050108 - NUECES</t>
  </si>
  <si>
    <t>NUECES PELADAS  X 100G</t>
  </si>
  <si>
    <t>MIXTURA DE NUECES 150G</t>
  </si>
  <si>
    <t>J0101050111 - OTROS FRUTOS SECOS</t>
  </si>
  <si>
    <t>MIX BERRY NUTS X 150 G</t>
  </si>
  <si>
    <t>J0101050104 - CIRUELA SECAS</t>
  </si>
  <si>
    <t>GUINDON SIN PEPA  X 150G</t>
  </si>
  <si>
    <t>COCKTAIL PREMIUM  X 150G  </t>
  </si>
  <si>
    <t>ALMENDRAS NATURAL X 100G</t>
  </si>
  <si>
    <t>MANI SALADO  X 150 G</t>
  </si>
  <si>
    <t>MANI CON PASAS  150G</t>
  </si>
  <si>
    <t>HABAS SALADAS X 150 G</t>
  </si>
  <si>
    <t>GIANELLA</t>
  </si>
  <si>
    <t>J02020108 - TOALLITAS HUMEDAS</t>
  </si>
  <si>
    <t>J0202010802 - TIER 4</t>
  </si>
  <si>
    <t>TOALLA HUMEDA ESENCIAL X48</t>
  </si>
  <si>
    <t>DIEGO</t>
  </si>
  <si>
    <t>J02010302 - PAPELES HIGIENICOS</t>
  </si>
  <si>
    <t>J0201030201 - DOBLE HOJA</t>
  </si>
  <si>
    <t>PAPEL HIGIENICO TOTTUS BLACK X4 40MT</t>
  </si>
  <si>
    <t>J05020405 - QUESOS REGIONALES</t>
  </si>
  <si>
    <t>J0502040504 - OTROS</t>
  </si>
  <si>
    <t>QUESO MANTECOSO TOTTUS X 300G</t>
  </si>
  <si>
    <t>J01010704 - LECHES/CREMAS</t>
  </si>
  <si>
    <t>J0101070405 - LECHE EVAPORADA ENTERA</t>
  </si>
  <si>
    <t>MEZCLA LÁCTEA SIX PACK x 390G PU</t>
  </si>
  <si>
    <t>MEZCLA LÁCTEA x 390G PU</t>
  </si>
  <si>
    <t>J0101050112 - GRANEL</t>
  </si>
  <si>
    <t>TOTTUS COCKTAIL CON NUECES TP X 200 G</t>
  </si>
  <si>
    <t>REEMPLAZO FÓRMULA</t>
  </si>
  <si>
    <t>EMILY</t>
  </si>
  <si>
    <t>J02010201 - DETERGENTES</t>
  </si>
  <si>
    <t>J0201020102 - DETERGENTE EN POLVO</t>
  </si>
  <si>
    <t>DET POLVO XPLEND FRESCURA FLORAL 2KG</t>
  </si>
  <si>
    <t>DET POLVO XPLEND FRESCURA FLORAL 4KG</t>
  </si>
  <si>
    <t>DET POLVO XPLEND FRESCURA FLORAL 750G</t>
  </si>
  <si>
    <t>SALTY AND CRUNCHY MIX TOTTUS X 170 GR</t>
  </si>
  <si>
    <t>SWEET AND SALTY MIX TOTTUS X 150 GR</t>
  </si>
  <si>
    <t>YOGURT AND CRUNCHY MIX TOTTUS X 170 GR</t>
  </si>
  <si>
    <t>QUESO EDAM TOTTUS 180G</t>
  </si>
  <si>
    <t>QUESO EDAM FAMILIAR TOTTUS 400G</t>
  </si>
  <si>
    <t>QUESO GOUDA TOTTUS 180G</t>
  </si>
  <si>
    <t>NOELIA</t>
  </si>
  <si>
    <t>J05020501 - PERSONALES</t>
  </si>
  <si>
    <t>J0502050107 - MIX</t>
  </si>
  <si>
    <t>TOTTUS MIX FRESA C/BOLITAS DE CHOCOLATE X 146G</t>
  </si>
  <si>
    <t>TOTTUS MIX VAINILLA C/BOLITAS DE CHOCOLATE X 146G</t>
  </si>
  <si>
    <t>TOTTUS MIX VAINILLA C/CHOCO COLORES X145G</t>
  </si>
  <si>
    <t>TOTTUS MIX VAINILLA C/GALLETAS BLACK X 138G</t>
  </si>
  <si>
    <t>TOTTUS MIX VAINILLA C/HOJUELAS NATURAL X 144G</t>
  </si>
  <si>
    <t>YOGURT PRECIO UNO  BATIDO VAINILLA C/ HOJUELAS NATURAL X144G</t>
  </si>
  <si>
    <t>YOGURT PRECIO UNO BATIDO VAINILLA C/ CHOCO COLORES X 145G</t>
  </si>
  <si>
    <t>YOGURT PRECIO UNO VAINILLA C/BOLITAS DE CHOCOLATE X 146G</t>
  </si>
  <si>
    <t>ALEJANDRA</t>
  </si>
  <si>
    <t>J01010708 - PANADERIA INDUSTRIAL/BIZCOCHOS</t>
  </si>
  <si>
    <t>J0101070807 - TOSTADAS/GRISSINES/OTROS</t>
  </si>
  <si>
    <t>TORTILLAS INTEGRAL X 12 UND (Chicas)</t>
  </si>
  <si>
    <t>TORTILLAS TRIGO TOTTUS 12 UND (Chicas)</t>
  </si>
  <si>
    <t>TORTILLAS TRIGO TOTTUS X 6 UND (Medianas)</t>
  </si>
  <si>
    <t>TORTILLAS TRIGO TOTTUS X 6 UND. (Grandes)</t>
  </si>
  <si>
    <t>TORTILLA DE MAIZ PICANTE PRECIO UNO (TORTEES)</t>
  </si>
  <si>
    <t>TORTILLA DE MAIZ PRECIO UNO (TORTEES)</t>
  </si>
  <si>
    <t>ALESSANDRO</t>
  </si>
  <si>
    <t>J05030108 - HIELO</t>
  </si>
  <si>
    <t>J0503010801 - HIELO</t>
  </si>
  <si>
    <t>HIELO EN CUBOS TOTTUS X 3KG</t>
  </si>
  <si>
    <t>MANI CROCANTE TOTTUS X 200 GR</t>
  </si>
  <si>
    <t>REEMPLAZO OTROS</t>
  </si>
  <si>
    <t>J0201020101 - DETERGENTE EN LIQUIDO</t>
  </si>
  <si>
    <t>DETERGENTE LIQUIDO  FRESCURA FLORAL X 4L BOTELLA TOTTUS</t>
  </si>
  <si>
    <t>DETERGENTE LIQUIDO FRESCURA FLORAL X 2L BOTELLA TOTTUS</t>
  </si>
  <si>
    <t>DETERGENTE LIQUIDO ULTRA X 4L BOTELLA TOTTUS</t>
  </si>
  <si>
    <t>DETERGENTE LIQUIDO ULTRA X 2L BOTELLA TOTTUS</t>
  </si>
  <si>
    <t>TOALLA HUMEDA ESENCIAL 5X80</t>
  </si>
  <si>
    <t>TOALLA HUMEDA ESENCIAL X80</t>
  </si>
  <si>
    <t>TOALLA HUMEDA ESENCIAL 4X48</t>
  </si>
  <si>
    <t>TOALLA HUMEDA ESENCIAL X184</t>
  </si>
  <si>
    <t>Llenar</t>
  </si>
  <si>
    <t>7. Sku(Producto)</t>
  </si>
  <si>
    <t>NUEVO REFORMULADO</t>
  </si>
  <si>
    <t>Cambio de calidad</t>
  </si>
  <si>
    <t>Cambio de diseño</t>
  </si>
  <si>
    <t>PALOMA ABANTO</t>
  </si>
  <si>
    <t>J02030202 - IMPLEMENTOS SANITARIOS</t>
  </si>
  <si>
    <t>J0203020205 - OTROS IMP.SANIT.</t>
  </si>
  <si>
    <t>JUEGUETE DE SOGA CON PELOT PERRO TOTTUS 1UN</t>
  </si>
  <si>
    <t>ALEJANDRA BALAREZO</t>
  </si>
  <si>
    <t>J01010709 - MODIFICADORES DE LECHE</t>
  </si>
  <si>
    <t>J0101070902 - TABLETA PARA TAZA</t>
  </si>
  <si>
    <t>DISP TABLETA TAZA SABOR CHOCOLATE 12X90G</t>
  </si>
  <si>
    <t>ESTEFANIA CONDE</t>
  </si>
  <si>
    <t>J01010901 - ARTICULOS PROMOCIONALES</t>
  </si>
  <si>
    <t>J0101090101 - ARTICULOS PROMOCIONALES</t>
  </si>
  <si>
    <t>CANASTA TOTTUS NAVIDAD 2025 - ESPUMANTE</t>
  </si>
  <si>
    <t>REFORMULACIÓN</t>
  </si>
  <si>
    <t>CANASTA PRECIO UNO 2025 - ESPUMANTE</t>
  </si>
  <si>
    <t>ADRIANA MONZON</t>
  </si>
  <si>
    <t>J01010202 - CONSERVAS DE FRUTAS</t>
  </si>
  <si>
    <t>J0101020203 - DURAZNOS</t>
  </si>
  <si>
    <t>DURAZNOS EN MITADES TOTTUS X 820G</t>
  </si>
  <si>
    <t>DURAZNO EN MITADES TOTTUS 415G</t>
  </si>
  <si>
    <t>CANASTA PRECIO UNO (TABLETA DE CHOCOLATE)</t>
  </si>
  <si>
    <t>CANASTA TOTTUS NAVIDAD 2025 (DURAZNO TOTTUS)</t>
  </si>
  <si>
    <t>GIANELLA VASQUEZ</t>
  </si>
  <si>
    <t>J02020203 - COLONIAS/PERFUMES</t>
  </si>
  <si>
    <t>J0202020301 - AROMATERAPIA</t>
  </si>
  <si>
    <t>FRAGANCIA MURANA SWEET FANTASY 250ML</t>
  </si>
  <si>
    <t>MURANA</t>
  </si>
  <si>
    <t>FRAGANCIA MURANA GOLDEN ILLUSION 250ML</t>
  </si>
  <si>
    <t>FRAGANCIA MURANA PURE ROMANCE 250ML</t>
  </si>
  <si>
    <t>J02020206 - CUIDADO DE LA PIEL</t>
  </si>
  <si>
    <t>J0202020602 - CREMAS MANOS Y CUERPO</t>
  </si>
  <si>
    <t>BODY LOTION MURANA SWEET FANTASY 250ML</t>
  </si>
  <si>
    <t>BODY LOTION MURANA GOLDEN ILLUSION 250ML</t>
  </si>
  <si>
    <t>J02020207 - ESTUCHES Y PACKS</t>
  </si>
  <si>
    <t>J0202020701 - ESTUCHES COLONIAS Y PERFUMES</t>
  </si>
  <si>
    <t>SET SWEET FANTASY FR 250ML Y LOC 250ML</t>
  </si>
  <si>
    <t>SET GOLDEN ILLUSION FR 250ML Y LOC 250ML</t>
  </si>
  <si>
    <t>SET SWEET FANTASY FR 75ML Y CRMANOS 50ML</t>
  </si>
  <si>
    <t>SET GOLDEN ILLUSION FR 75ML Y CRMAN 50ML</t>
  </si>
  <si>
    <t>J0202020704 - ESTUCHES CUIDADO DE LA PIEL</t>
  </si>
  <si>
    <t>SET MURANA CREMA DE MANOS 50 ML X2</t>
  </si>
  <si>
    <t>J0101020207 - PIÑA</t>
  </si>
  <si>
    <t>PINA RODAJAS PRECIO UNO X 565 GR</t>
  </si>
  <si>
    <t>PINA RODAJAS TOTTUS X 565 GR</t>
  </si>
  <si>
    <t>J0101050207 - PAPAS FRITAS</t>
  </si>
  <si>
    <t>PAPAS ANDINAS SAL DE MARAS TOTTUS 130G</t>
  </si>
  <si>
    <t>PAPAS ANDINAS SABOR JALAPENO TOTTUS 130G</t>
  </si>
  <si>
    <t>PAPAS ANDINAS SABOR BBQ 130G</t>
  </si>
  <si>
    <t>NOELIA ACEVEDO</t>
  </si>
  <si>
    <t>J05020102-LECHE</t>
  </si>
  <si>
    <t>J0502010202-REGULAR</t>
  </si>
  <si>
    <t>LECHE UHT ENTERA TOTTUS BOLSA X800 ML</t>
  </si>
  <si>
    <t>TRIPACK LECHE UHT ENTERA TOTTUS BOLSA X 3UNDX 800 ML C/U</t>
  </si>
  <si>
    <t>EXTRUIDO MAIZ SABOR QUESO TOTTUS X190G</t>
  </si>
  <si>
    <t>DIPS TORTILLA MAIZ NACHOS TOTTUS X 200G</t>
  </si>
  <si>
    <t>DIPS TORTILLA MAIZ PICANTE TOTTUS X 200G</t>
  </si>
  <si>
    <t>TORTILLA CLASICO TOTTUS X 150G</t>
  </si>
  <si>
    <t>TORTILLA PICANTE TOTTUS X 150G</t>
  </si>
  <si>
    <t>DIPS TORTILLA DE MAIZ QUESO TOTTUS X190G</t>
  </si>
  <si>
    <t>J05020204 - MARGARINA</t>
  </si>
  <si>
    <t>J0502020403 - POTE</t>
  </si>
  <si>
    <t>MARGARINA UNTABLE NR PRECIO UNO X 450G</t>
  </si>
  <si>
    <t>MARGARINA UNTABLE NR PRECIO UNO X 225G</t>
  </si>
  <si>
    <t>J0101070810 - PAN FLUJO CD FRESCOS</t>
  </si>
  <si>
    <t>PAN MOLDE BLANCO PRECIO UNO X 500 GR</t>
  </si>
  <si>
    <t>PAN MOLDE INTEGRAL PRECIO UNO X 500 GR</t>
  </si>
  <si>
    <t>J0101070804 - PANETON</t>
  </si>
  <si>
    <t>PANETON EN TAJADAS TOTTUS 550G</t>
  </si>
  <si>
    <t>YOGURT BEB FRESA TOTTUS X 1.6 KG</t>
  </si>
  <si>
    <t>YOGURT BEB VAINILLA TOTTUS X 1.6KG</t>
  </si>
  <si>
    <t>YOGURT BEB DURAZNO TOTTUS X 1.6KG</t>
  </si>
  <si>
    <t>YOGURT BEB FRUT BOSQ TOTTUS X 1.6KG</t>
  </si>
  <si>
    <t>YOGURT BEB FRESA PU X 1.6KG</t>
  </si>
  <si>
    <t>YOGURT BEB VAINILLA PU X 1.6KG</t>
  </si>
  <si>
    <t>YOGURT BEB FRUT BOSQ PU X1.6KG</t>
  </si>
  <si>
    <t>YOGURT BEB FRESA TOTTUS X 900G</t>
  </si>
  <si>
    <t>YOGURT BEB VAINILLA TOTTUS X 900G</t>
  </si>
  <si>
    <t>YOGURT BEB DURAZ TOTTUS X 900G</t>
  </si>
  <si>
    <t>YOGURT BEB FRUT BOSQ TOTTUS X 900G</t>
  </si>
  <si>
    <t>YOGURT BEBIBLE FRESA PU X 900G</t>
  </si>
  <si>
    <t>YOGURT BEBIBLE VAINILLA PU X 900G</t>
  </si>
  <si>
    <t>YOGURT BEB FRUT BOSQ PU X 900G</t>
  </si>
  <si>
    <t>YOG MIX VAINI CHOCO COLORES TT X 150G</t>
  </si>
  <si>
    <t>YOG MIX VAINI BOLITAS CHOCO TT X 146G</t>
  </si>
  <si>
    <t>YOG MIX VAINI GALLETAS BLACK TT X 138G</t>
  </si>
  <si>
    <t>YOG MIX VAINI HOJUELAS TT X 144G</t>
  </si>
  <si>
    <t>YOG MIX FRESA BOLITAS CHOCO TT X 146G</t>
  </si>
  <si>
    <t>YOGU MIX VAINI CHOCO COLOR PU X 150G</t>
  </si>
  <si>
    <t>YOGU MIX VAINI HOJUELAS PU X 144G</t>
  </si>
  <si>
    <t>YOGU MIX VAINI BOLITAS CHOCO PU X 146G</t>
  </si>
  <si>
    <t>YOGURT GRIEG NATURAL TOTTUS X960G</t>
  </si>
  <si>
    <t>YOGURT GRIEG FRUT BOSQUE TOTTUS X960G</t>
  </si>
  <si>
    <t>YOGURT GRIEG ARANDANOS TOTTUS X960G</t>
  </si>
  <si>
    <t>YOGURT GRIEG MANGO FRESA TOTTUS X960G</t>
  </si>
  <si>
    <t>YOGURT GRIEG NATURAL PRECIO UNO X960G</t>
  </si>
  <si>
    <t>YOGURT GRIEG FRUT BOSQ PRECIO UNO X960G</t>
  </si>
  <si>
    <t>YOGURT GRIEG ARANDANOS PRECIO UNO X960G</t>
  </si>
  <si>
    <t>FRESA CONGELADA PRECIO UNO 1KG</t>
  </si>
  <si>
    <t>FRESA CONGELADA PRECIO UNO 500G</t>
  </si>
  <si>
    <t>MIX FRESA PAPAYA Y PIÑA CONGELADA PRECIO UNO 1KG</t>
  </si>
  <si>
    <t>MIX FRESA PAPAYA Y PIÑA CONGELADA PRECIO UNO 500G</t>
  </si>
  <si>
    <t>MANGO CONGELADO PRECIO UNO 500G</t>
  </si>
  <si>
    <t>ARANDANO EN TROZOS PRECIO UNO 500G</t>
  </si>
  <si>
    <t>MARGARINA UNTABLE NR TOTTUS X 450G</t>
  </si>
  <si>
    <t>MARGARINA UNTABLE NR TOTTUS X 225G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</si>
</sst>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Aptos Narrow"/>
      <family val="2"/>
      <scheme val="minor"/>
    </font>
    <font>
      <b/>
      <sz val="8"/>
      <color rgb="FF000000"/>
      <name val="Aptos"/>
      <family val="2"/>
    </font>
    <font>
      <sz val="11"/>
      <color theme="1"/>
      <name val="Aptos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  <font>
      <sz val="11"/>
      <name val="Arial"/>
      <family val="2"/>
    </font>
    <font>
      <sz val="12"/>
      <color theme="1"/>
      <name val="Aptos Narrow"/>
      <family val="2"/>
      <scheme val="minor"/>
    </font>
    <font>
      <sz val="11"/>
      <color indexed="8"/>
      <name val="Aptos Narrow"/>
      <family val="2"/>
      <scheme val="minor"/>
    </font>
    <font>
      <b/>
      <sz val="9"/>
      <color indexed="81"/>
      <name val="Tahoma"/>
      <family val="2"/>
    </font>
    <font>
      <sz val="11"/>
      <color rgb="FF000000"/>
      <name val="Aptos"/>
      <family val="2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</font>
    <font>
      <sz val="11"/>
      <color theme="1"/>
      <name val="Aptos"/>
    </font>
    <font>
      <b/>
      <sz val="10"/>
      <color rgb="FF000000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6" fillId="0" borderId="0"/>
    <xf numFmtId="0" fontId="7" fillId="0" borderId="0"/>
    <xf numFmtId="9" fontId="10" fillId="0" borderId="0" applyFont="0" applyFill="0" applyBorder="0" applyAlignment="0" applyProtection="0"/>
  </cellStyleXfs>
  <cellXfs count="4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3" fillId="0" borderId="1" xfId="0" applyFont="1" applyBorder="1" applyAlignment="1" applyProtection="1">
      <alignment horizontal="left" vertical="center"/>
      <protection locked="0"/>
    </xf>
    <xf numFmtId="0" fontId="0" fillId="0" borderId="0" xfId="0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9" fillId="0" borderId="4" xfId="0" applyFont="1" applyBorder="1"/>
    <xf numFmtId="0" fontId="9" fillId="0" borderId="5" xfId="0" applyFont="1" applyBorder="1"/>
    <xf numFmtId="0" fontId="9" fillId="0" borderId="6" xfId="0" applyFont="1" applyBorder="1"/>
    <xf numFmtId="0" fontId="9" fillId="0" borderId="1" xfId="0" applyFont="1" applyBorder="1"/>
    <xf numFmtId="0" fontId="9" fillId="0" borderId="7" xfId="0" applyFont="1" applyBorder="1"/>
    <xf numFmtId="0" fontId="9" fillId="0" borderId="3" xfId="0" applyFont="1" applyBorder="1"/>
    <xf numFmtId="0" fontId="9" fillId="0" borderId="8" xfId="0" applyFont="1" applyBorder="1"/>
    <xf numFmtId="0" fontId="9" fillId="0" borderId="9" xfId="0" applyFont="1" applyBorder="1"/>
    <xf numFmtId="0" fontId="9" fillId="0" borderId="10" xfId="0" applyFont="1" applyBorder="1"/>
    <xf numFmtId="0" fontId="9" fillId="0" borderId="11" xfId="0" applyFont="1" applyBorder="1"/>
    <xf numFmtId="0" fontId="9" fillId="0" borderId="12" xfId="0" applyFont="1" applyBorder="1"/>
    <xf numFmtId="0" fontId="12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4" fillId="4" borderId="2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6" fillId="0" borderId="0" xfId="0" applyFont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9" fontId="0" fillId="0" borderId="1" xfId="3" applyFont="1" applyBorder="1" applyAlignment="1">
      <alignment horizontal="center" vertical="center"/>
    </xf>
    <xf numFmtId="0" fontId="11" fillId="6" borderId="1" xfId="0" applyFont="1" applyFill="1" applyBorder="1" applyAlignment="1">
      <alignment horizontal="left" vertical="center"/>
    </xf>
    <xf numFmtId="0" fontId="11" fillId="6" borderId="1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center" vertical="center"/>
    </xf>
  </cellXfs>
  <cellStyles count="4">
    <cellStyle name="Normal" xfId="0" builtinId="0"/>
    <cellStyle name="Normal 2" xfId="1" xr:uid="{726192AA-F1CD-4F0D-B65D-746A184CF743}"/>
    <cellStyle name="Normal 2 2" xfId="2" xr:uid="{88ACFC73-F045-4182-962A-290E6B73031C}"/>
    <cellStyle name="Porcentaje" xfId="3" builtinId="5"/>
  </cellStyles>
  <dxfs count="5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CBE21-57F3-460A-AB29-2BF37667ADBB}">
  <dimension ref="A1:U69"/>
  <sheetViews>
    <sheetView topLeftCell="D1" zoomScale="60" zoomScaleNormal="72" workbookViewId="0">
      <pane ySplit="1" topLeftCell="D48" activePane="bottomLeft" state="frozen"/>
      <selection pane="bottomLeft" activeCell="G49" sqref="G49"/>
      <selection activeCell="D1" sqref="D1"/>
    </sheetView>
  </sheetViews>
  <sheetFormatPr defaultColWidth="11.5703125" defaultRowHeight="14.45"/>
  <cols>
    <col min="1" max="1" width="25.7109375" style="11" hidden="1" customWidth="1"/>
    <col min="2" max="2" width="59" style="11" hidden="1" customWidth="1"/>
    <col min="3" max="3" width="51.28515625" style="11" hidden="1" customWidth="1"/>
    <col min="4" max="4" width="5.42578125" style="11" customWidth="1"/>
    <col min="5" max="5" width="11.5703125" style="11" customWidth="1"/>
    <col min="6" max="6" width="65.140625" style="11" customWidth="1"/>
    <col min="7" max="7" width="14" style="11" bestFit="1" customWidth="1"/>
    <col min="8" max="8" width="30" style="11" customWidth="1"/>
    <col min="9" max="9" width="11.5703125" style="11" customWidth="1"/>
    <col min="10" max="11" width="20" style="11" customWidth="1"/>
    <col min="12" max="12" width="14.42578125" style="11" customWidth="1"/>
    <col min="13" max="13" width="14.28515625" style="11" customWidth="1"/>
    <col min="14" max="14" width="19.7109375" style="11" customWidth="1"/>
    <col min="15" max="15" width="11.5703125" style="11"/>
    <col min="16" max="16" width="33.140625" style="11" bestFit="1" customWidth="1"/>
    <col min="17" max="17" width="11.5703125" style="11"/>
    <col min="18" max="18" width="9.5703125" style="11" customWidth="1"/>
    <col min="19" max="19" width="11.5703125" style="11"/>
    <col min="20" max="20" width="18.42578125" style="11" bestFit="1" customWidth="1"/>
    <col min="21" max="21" width="14.28515625" style="11" bestFit="1" customWidth="1"/>
    <col min="22" max="16384" width="11.5703125" style="11"/>
  </cols>
  <sheetData>
    <row r="1" spans="1:21" ht="39.6">
      <c r="A1" s="8" t="s">
        <v>0</v>
      </c>
      <c r="B1" s="8" t="s">
        <v>1</v>
      </c>
      <c r="C1" s="8" t="s">
        <v>2</v>
      </c>
      <c r="D1" s="28" t="s">
        <v>3</v>
      </c>
      <c r="E1" s="28" t="s">
        <v>4</v>
      </c>
      <c r="F1" s="28" t="s">
        <v>5</v>
      </c>
      <c r="G1" s="28" t="s">
        <v>6</v>
      </c>
      <c r="H1" s="28" t="s">
        <v>7</v>
      </c>
      <c r="I1" s="28" t="s">
        <v>8</v>
      </c>
      <c r="J1" s="28" t="s">
        <v>9</v>
      </c>
      <c r="K1" s="28" t="s">
        <v>9</v>
      </c>
      <c r="L1" s="28" t="s">
        <v>10</v>
      </c>
      <c r="M1" s="28" t="s">
        <v>11</v>
      </c>
      <c r="N1" s="28" t="s">
        <v>12</v>
      </c>
    </row>
    <row r="2" spans="1:21">
      <c r="A2" s="6" t="s">
        <v>13</v>
      </c>
      <c r="B2" s="9" t="s">
        <v>14</v>
      </c>
      <c r="C2" s="9" t="s">
        <v>15</v>
      </c>
      <c r="D2" s="9">
        <v>1</v>
      </c>
      <c r="E2" s="29">
        <v>43563802</v>
      </c>
      <c r="F2" s="31" t="s">
        <v>16</v>
      </c>
      <c r="G2" s="31" t="s">
        <v>17</v>
      </c>
      <c r="H2" s="29" t="s">
        <v>18</v>
      </c>
      <c r="I2" s="30">
        <v>2026</v>
      </c>
      <c r="J2" s="29">
        <v>2</v>
      </c>
      <c r="K2" s="29" t="str">
        <f t="shared" ref="K2:K33" si="0">IF(J2=1,"Enero",IF(J2=2,"Febrero","Marzo"))</f>
        <v>Febrero</v>
      </c>
      <c r="L2" s="29" t="s">
        <v>19</v>
      </c>
      <c r="M2" s="29" t="s">
        <v>20</v>
      </c>
      <c r="N2" s="29" t="s">
        <v>19</v>
      </c>
    </row>
    <row r="3" spans="1:21">
      <c r="A3" s="6" t="s">
        <v>13</v>
      </c>
      <c r="B3" s="9" t="s">
        <v>14</v>
      </c>
      <c r="C3" s="9" t="s">
        <v>15</v>
      </c>
      <c r="D3" s="9">
        <v>2</v>
      </c>
      <c r="E3" s="29">
        <v>43563801</v>
      </c>
      <c r="F3" s="31" t="s">
        <v>21</v>
      </c>
      <c r="G3" s="31" t="s">
        <v>17</v>
      </c>
      <c r="H3" s="29" t="s">
        <v>18</v>
      </c>
      <c r="I3" s="30">
        <v>2026</v>
      </c>
      <c r="J3" s="29">
        <v>2</v>
      </c>
      <c r="K3" s="29" t="str">
        <f t="shared" si="0"/>
        <v>Febrero</v>
      </c>
      <c r="L3" s="29" t="s">
        <v>19</v>
      </c>
      <c r="M3" s="29" t="s">
        <v>20</v>
      </c>
      <c r="N3" s="29" t="s">
        <v>19</v>
      </c>
      <c r="P3" s="37" t="s">
        <v>22</v>
      </c>
      <c r="Q3" s="38" t="s">
        <v>23</v>
      </c>
      <c r="R3" s="34" t="s">
        <v>24</v>
      </c>
      <c r="S3" s="39" t="s">
        <v>25</v>
      </c>
      <c r="T3" s="38" t="s">
        <v>26</v>
      </c>
      <c r="U3" s="38" t="s">
        <v>27</v>
      </c>
    </row>
    <row r="4" spans="1:21">
      <c r="A4" s="6" t="s">
        <v>13</v>
      </c>
      <c r="B4" s="9" t="s">
        <v>14</v>
      </c>
      <c r="C4" s="9" t="s">
        <v>15</v>
      </c>
      <c r="D4" s="9">
        <v>3</v>
      </c>
      <c r="E4" s="29">
        <v>43590263</v>
      </c>
      <c r="F4" s="31" t="s">
        <v>28</v>
      </c>
      <c r="G4" s="31" t="s">
        <v>17</v>
      </c>
      <c r="H4" s="29" t="s">
        <v>18</v>
      </c>
      <c r="I4" s="30">
        <v>2026</v>
      </c>
      <c r="J4" s="29">
        <v>2</v>
      </c>
      <c r="K4" s="29" t="str">
        <f t="shared" si="0"/>
        <v>Febrero</v>
      </c>
      <c r="L4" s="29" t="s">
        <v>19</v>
      </c>
      <c r="M4" s="29" t="s">
        <v>20</v>
      </c>
      <c r="N4" s="29" t="s">
        <v>19</v>
      </c>
      <c r="P4" s="35" t="s">
        <v>29</v>
      </c>
      <c r="Q4" s="12">
        <f>COUNTIF(H2:H69,"NUEVO")</f>
        <v>34</v>
      </c>
      <c r="R4" s="12">
        <f>COUNTIF($G$2:$G$35,"TOTTUS")</f>
        <v>19</v>
      </c>
      <c r="S4" s="12">
        <f>COUNTIF($G$2:$G$35,"PRECIO UNO")</f>
        <v>15</v>
      </c>
      <c r="T4" s="12">
        <f>COUNTIF($N$2:$N$35,"SI")</f>
        <v>17</v>
      </c>
      <c r="U4" s="36">
        <f>T4/R4</f>
        <v>0.89473684210526316</v>
      </c>
    </row>
    <row r="5" spans="1:21">
      <c r="A5" s="6" t="s">
        <v>30</v>
      </c>
      <c r="B5" s="9" t="s">
        <v>31</v>
      </c>
      <c r="C5" s="9" t="s">
        <v>32</v>
      </c>
      <c r="D5" s="9">
        <v>4</v>
      </c>
      <c r="E5" s="29">
        <v>43556432</v>
      </c>
      <c r="F5" s="31" t="s">
        <v>33</v>
      </c>
      <c r="G5" s="31" t="s">
        <v>17</v>
      </c>
      <c r="H5" s="29" t="s">
        <v>18</v>
      </c>
      <c r="I5" s="30">
        <v>2026</v>
      </c>
      <c r="J5" s="29">
        <v>1</v>
      </c>
      <c r="K5" s="29" t="str">
        <f t="shared" si="0"/>
        <v>Enero</v>
      </c>
      <c r="L5" s="29" t="s">
        <v>19</v>
      </c>
      <c r="M5" s="29" t="s">
        <v>20</v>
      </c>
      <c r="N5" s="29" t="s">
        <v>19</v>
      </c>
      <c r="P5" s="35" t="s">
        <v>34</v>
      </c>
      <c r="Q5" s="12">
        <f>COUNTIF(H2:H69,"REEMPLAZO FÓRMULA")+COUNTIF(H2:H69,"REEMPLAZO OTROS")</f>
        <v>34</v>
      </c>
      <c r="R5" s="12">
        <f>COUNTIF($G$36:$G$69,"TOTTUS")</f>
        <v>29</v>
      </c>
      <c r="S5" s="12">
        <f>COUNTIF($G$36:$G$69,"PRECIO UNO")</f>
        <v>5</v>
      </c>
      <c r="T5" s="12">
        <f>COUNTIF($N$36:$N$69,"SI")</f>
        <v>26</v>
      </c>
      <c r="U5" s="36">
        <f>T5/R5</f>
        <v>0.89655172413793105</v>
      </c>
    </row>
    <row r="6" spans="1:21">
      <c r="A6" s="6" t="s">
        <v>30</v>
      </c>
      <c r="B6" s="9" t="s">
        <v>35</v>
      </c>
      <c r="C6" s="9" t="s">
        <v>36</v>
      </c>
      <c r="D6" s="9">
        <v>5</v>
      </c>
      <c r="E6" s="29">
        <v>43572875</v>
      </c>
      <c r="F6" s="31" t="s">
        <v>37</v>
      </c>
      <c r="G6" s="31" t="s">
        <v>17</v>
      </c>
      <c r="H6" s="29" t="s">
        <v>18</v>
      </c>
      <c r="I6" s="30">
        <v>2026</v>
      </c>
      <c r="J6" s="29">
        <v>1</v>
      </c>
      <c r="K6" s="29" t="str">
        <f t="shared" si="0"/>
        <v>Enero</v>
      </c>
      <c r="L6" s="29" t="s">
        <v>19</v>
      </c>
      <c r="M6" s="29" t="s">
        <v>20</v>
      </c>
      <c r="N6" s="29" t="s">
        <v>19</v>
      </c>
      <c r="P6" s="32"/>
    </row>
    <row r="7" spans="1:21">
      <c r="A7" s="6" t="s">
        <v>30</v>
      </c>
      <c r="B7" s="9" t="s">
        <v>35</v>
      </c>
      <c r="C7" s="9" t="s">
        <v>36</v>
      </c>
      <c r="D7" s="9">
        <v>6</v>
      </c>
      <c r="E7" s="29">
        <v>43572876</v>
      </c>
      <c r="F7" s="31" t="s">
        <v>38</v>
      </c>
      <c r="G7" s="31" t="s">
        <v>17</v>
      </c>
      <c r="H7" s="29" t="s">
        <v>18</v>
      </c>
      <c r="I7" s="30">
        <v>2026</v>
      </c>
      <c r="J7" s="29">
        <v>1</v>
      </c>
      <c r="K7" s="29" t="str">
        <f t="shared" si="0"/>
        <v>Enero</v>
      </c>
      <c r="L7" s="29" t="s">
        <v>19</v>
      </c>
      <c r="M7" s="29" t="s">
        <v>20</v>
      </c>
      <c r="N7" s="29" t="s">
        <v>19</v>
      </c>
      <c r="P7" s="32"/>
    </row>
    <row r="8" spans="1:21">
      <c r="A8" s="6" t="s">
        <v>30</v>
      </c>
      <c r="B8" s="9" t="s">
        <v>35</v>
      </c>
      <c r="C8" s="9" t="s">
        <v>39</v>
      </c>
      <c r="D8" s="9">
        <v>7</v>
      </c>
      <c r="E8" s="29">
        <v>43572877</v>
      </c>
      <c r="F8" s="31" t="s">
        <v>40</v>
      </c>
      <c r="G8" s="31" t="s">
        <v>17</v>
      </c>
      <c r="H8" s="29" t="s">
        <v>18</v>
      </c>
      <c r="I8" s="30">
        <v>2026</v>
      </c>
      <c r="J8" s="29">
        <v>1</v>
      </c>
      <c r="K8" s="29" t="str">
        <f t="shared" si="0"/>
        <v>Enero</v>
      </c>
      <c r="L8" s="29" t="s">
        <v>19</v>
      </c>
      <c r="M8" s="29" t="s">
        <v>20</v>
      </c>
      <c r="N8" s="29" t="s">
        <v>19</v>
      </c>
    </row>
    <row r="9" spans="1:21">
      <c r="A9" s="6" t="s">
        <v>30</v>
      </c>
      <c r="B9" s="9" t="s">
        <v>35</v>
      </c>
      <c r="C9" s="9" t="s">
        <v>39</v>
      </c>
      <c r="D9" s="9">
        <v>8</v>
      </c>
      <c r="E9" s="29">
        <v>43572878</v>
      </c>
      <c r="F9" s="31" t="s">
        <v>40</v>
      </c>
      <c r="G9" s="31" t="s">
        <v>17</v>
      </c>
      <c r="H9" s="29" t="s">
        <v>18</v>
      </c>
      <c r="I9" s="30">
        <v>2026</v>
      </c>
      <c r="J9" s="29">
        <v>1</v>
      </c>
      <c r="K9" s="29" t="str">
        <f t="shared" si="0"/>
        <v>Enero</v>
      </c>
      <c r="L9" s="29" t="s">
        <v>19</v>
      </c>
      <c r="M9" s="29" t="s">
        <v>20</v>
      </c>
      <c r="N9" s="29" t="s">
        <v>19</v>
      </c>
    </row>
    <row r="10" spans="1:21">
      <c r="A10" s="6" t="s">
        <v>30</v>
      </c>
      <c r="B10" s="9" t="s">
        <v>35</v>
      </c>
      <c r="C10" s="9" t="s">
        <v>39</v>
      </c>
      <c r="D10" s="9">
        <v>9</v>
      </c>
      <c r="E10" s="29">
        <v>43572880</v>
      </c>
      <c r="F10" s="31" t="s">
        <v>41</v>
      </c>
      <c r="G10" s="31" t="s">
        <v>17</v>
      </c>
      <c r="H10" s="29" t="s">
        <v>18</v>
      </c>
      <c r="I10" s="30">
        <v>2026</v>
      </c>
      <c r="J10" s="29">
        <v>1</v>
      </c>
      <c r="K10" s="29" t="str">
        <f t="shared" si="0"/>
        <v>Enero</v>
      </c>
      <c r="L10" s="29" t="s">
        <v>19</v>
      </c>
      <c r="M10" s="29" t="s">
        <v>20</v>
      </c>
      <c r="N10" s="29" t="s">
        <v>19</v>
      </c>
    </row>
    <row r="11" spans="1:21">
      <c r="A11" s="6" t="s">
        <v>30</v>
      </c>
      <c r="B11" s="9" t="s">
        <v>35</v>
      </c>
      <c r="C11" s="9" t="s">
        <v>42</v>
      </c>
      <c r="D11" s="9">
        <v>10</v>
      </c>
      <c r="E11" s="29">
        <v>43572881</v>
      </c>
      <c r="F11" s="31" t="s">
        <v>43</v>
      </c>
      <c r="G11" s="31" t="s">
        <v>17</v>
      </c>
      <c r="H11" s="29" t="s">
        <v>18</v>
      </c>
      <c r="I11" s="30">
        <v>2026</v>
      </c>
      <c r="J11" s="29">
        <v>1</v>
      </c>
      <c r="K11" s="29" t="str">
        <f t="shared" si="0"/>
        <v>Enero</v>
      </c>
      <c r="L11" s="29" t="s">
        <v>19</v>
      </c>
      <c r="M11" s="29" t="s">
        <v>20</v>
      </c>
      <c r="N11" s="29" t="s">
        <v>19</v>
      </c>
    </row>
    <row r="12" spans="1:21">
      <c r="A12" s="6" t="s">
        <v>30</v>
      </c>
      <c r="B12" s="9" t="s">
        <v>35</v>
      </c>
      <c r="C12" s="9" t="s">
        <v>39</v>
      </c>
      <c r="D12" s="9">
        <v>11</v>
      </c>
      <c r="E12" s="29">
        <v>43572882</v>
      </c>
      <c r="F12" s="31" t="s">
        <v>44</v>
      </c>
      <c r="G12" s="31" t="s">
        <v>17</v>
      </c>
      <c r="H12" s="29" t="s">
        <v>18</v>
      </c>
      <c r="I12" s="30">
        <v>2026</v>
      </c>
      <c r="J12" s="29">
        <v>1</v>
      </c>
      <c r="K12" s="29" t="str">
        <f t="shared" si="0"/>
        <v>Enero</v>
      </c>
      <c r="L12" s="29" t="s">
        <v>19</v>
      </c>
      <c r="M12" s="29" t="s">
        <v>20</v>
      </c>
      <c r="N12" s="29" t="s">
        <v>19</v>
      </c>
    </row>
    <row r="13" spans="1:21">
      <c r="A13" s="6" t="s">
        <v>30</v>
      </c>
      <c r="B13" s="9" t="s">
        <v>35</v>
      </c>
      <c r="C13" s="9" t="s">
        <v>39</v>
      </c>
      <c r="D13" s="9">
        <v>12</v>
      </c>
      <c r="E13" s="29">
        <v>43572879</v>
      </c>
      <c r="F13" s="31" t="s">
        <v>45</v>
      </c>
      <c r="G13" s="31" t="s">
        <v>17</v>
      </c>
      <c r="H13" s="29" t="s">
        <v>18</v>
      </c>
      <c r="I13" s="30">
        <v>2026</v>
      </c>
      <c r="J13" s="29">
        <v>1</v>
      </c>
      <c r="K13" s="29" t="str">
        <f t="shared" si="0"/>
        <v>Enero</v>
      </c>
      <c r="L13" s="29" t="s">
        <v>19</v>
      </c>
      <c r="M13" s="29" t="s">
        <v>20</v>
      </c>
      <c r="N13" s="29" t="s">
        <v>19</v>
      </c>
    </row>
    <row r="14" spans="1:21">
      <c r="A14" s="6" t="s">
        <v>46</v>
      </c>
      <c r="B14" s="9" t="s">
        <v>47</v>
      </c>
      <c r="C14" s="9" t="s">
        <v>48</v>
      </c>
      <c r="D14" s="9">
        <v>13</v>
      </c>
      <c r="E14" s="29">
        <v>43590249</v>
      </c>
      <c r="F14" s="31" t="s">
        <v>49</v>
      </c>
      <c r="G14" s="31" t="s">
        <v>17</v>
      </c>
      <c r="H14" s="29" t="s">
        <v>18</v>
      </c>
      <c r="I14" s="30">
        <v>2026</v>
      </c>
      <c r="J14" s="29">
        <v>1</v>
      </c>
      <c r="K14" s="29" t="str">
        <f t="shared" si="0"/>
        <v>Enero</v>
      </c>
      <c r="L14" s="29" t="s">
        <v>19</v>
      </c>
      <c r="M14" s="29" t="s">
        <v>20</v>
      </c>
      <c r="N14" s="29" t="s">
        <v>50</v>
      </c>
    </row>
    <row r="15" spans="1:21">
      <c r="A15" s="6" t="s">
        <v>46</v>
      </c>
      <c r="B15" s="9" t="s">
        <v>47</v>
      </c>
      <c r="C15" s="9" t="s">
        <v>48</v>
      </c>
      <c r="D15" s="9">
        <v>14</v>
      </c>
      <c r="E15" s="29">
        <v>43590237</v>
      </c>
      <c r="F15" s="31" t="s">
        <v>51</v>
      </c>
      <c r="G15" s="31" t="s">
        <v>52</v>
      </c>
      <c r="H15" s="29" t="s">
        <v>18</v>
      </c>
      <c r="I15" s="30">
        <v>2026</v>
      </c>
      <c r="J15" s="29">
        <v>1</v>
      </c>
      <c r="K15" s="29" t="str">
        <f t="shared" si="0"/>
        <v>Enero</v>
      </c>
      <c r="L15" s="29" t="s">
        <v>19</v>
      </c>
      <c r="M15" s="29" t="s">
        <v>20</v>
      </c>
      <c r="N15" s="29" t="s">
        <v>20</v>
      </c>
    </row>
    <row r="16" spans="1:21">
      <c r="A16" s="6" t="s">
        <v>46</v>
      </c>
      <c r="B16" s="9" t="s">
        <v>47</v>
      </c>
      <c r="C16" s="9" t="s">
        <v>48</v>
      </c>
      <c r="D16" s="9">
        <v>15</v>
      </c>
      <c r="E16" s="29">
        <v>43590238</v>
      </c>
      <c r="F16" s="31" t="s">
        <v>53</v>
      </c>
      <c r="G16" s="31" t="s">
        <v>52</v>
      </c>
      <c r="H16" s="29" t="s">
        <v>18</v>
      </c>
      <c r="I16" s="30">
        <v>2026</v>
      </c>
      <c r="J16" s="29">
        <v>1</v>
      </c>
      <c r="K16" s="29" t="str">
        <f t="shared" si="0"/>
        <v>Enero</v>
      </c>
      <c r="L16" s="29" t="s">
        <v>19</v>
      </c>
      <c r="M16" s="29" t="s">
        <v>20</v>
      </c>
      <c r="N16" s="29" t="s">
        <v>20</v>
      </c>
    </row>
    <row r="17" spans="1:14">
      <c r="A17" s="6" t="s">
        <v>13</v>
      </c>
      <c r="B17" s="9" t="s">
        <v>14</v>
      </c>
      <c r="C17" s="9" t="s">
        <v>15</v>
      </c>
      <c r="D17" s="9">
        <v>16</v>
      </c>
      <c r="E17" s="29">
        <v>43563799</v>
      </c>
      <c r="F17" s="31" t="s">
        <v>54</v>
      </c>
      <c r="G17" s="31" t="s">
        <v>17</v>
      </c>
      <c r="H17" s="29" t="s">
        <v>18</v>
      </c>
      <c r="I17" s="30">
        <v>2026</v>
      </c>
      <c r="J17" s="29">
        <v>2</v>
      </c>
      <c r="K17" s="29" t="str">
        <f t="shared" si="0"/>
        <v>Febrero</v>
      </c>
      <c r="L17" s="29" t="s">
        <v>19</v>
      </c>
      <c r="M17" s="29" t="s">
        <v>20</v>
      </c>
      <c r="N17" s="29" t="s">
        <v>19</v>
      </c>
    </row>
    <row r="18" spans="1:14">
      <c r="A18" s="6" t="s">
        <v>13</v>
      </c>
      <c r="B18" s="9" t="s">
        <v>14</v>
      </c>
      <c r="C18" s="9" t="s">
        <v>15</v>
      </c>
      <c r="D18" s="9">
        <v>17</v>
      </c>
      <c r="E18" s="29">
        <v>43563798</v>
      </c>
      <c r="F18" s="31" t="s">
        <v>55</v>
      </c>
      <c r="G18" s="31" t="s">
        <v>17</v>
      </c>
      <c r="H18" s="29" t="s">
        <v>18</v>
      </c>
      <c r="I18" s="30">
        <v>2026</v>
      </c>
      <c r="J18" s="29">
        <v>2</v>
      </c>
      <c r="K18" s="29" t="str">
        <f t="shared" si="0"/>
        <v>Febrero</v>
      </c>
      <c r="L18" s="29" t="s">
        <v>19</v>
      </c>
      <c r="M18" s="29" t="s">
        <v>20</v>
      </c>
      <c r="N18" s="29" t="s">
        <v>19</v>
      </c>
    </row>
    <row r="19" spans="1:14">
      <c r="A19" s="6" t="s">
        <v>30</v>
      </c>
      <c r="B19" s="9" t="s">
        <v>31</v>
      </c>
      <c r="C19" s="9" t="s">
        <v>56</v>
      </c>
      <c r="D19" s="9">
        <v>18</v>
      </c>
      <c r="E19" s="29">
        <v>43600270</v>
      </c>
      <c r="F19" s="31" t="s">
        <v>57</v>
      </c>
      <c r="G19" s="31" t="s">
        <v>52</v>
      </c>
      <c r="H19" s="29" t="s">
        <v>18</v>
      </c>
      <c r="I19" s="30">
        <v>2026</v>
      </c>
      <c r="J19" s="29">
        <v>3</v>
      </c>
      <c r="K19" s="29" t="str">
        <f t="shared" si="0"/>
        <v>Marzo</v>
      </c>
      <c r="L19" s="29" t="s">
        <v>19</v>
      </c>
      <c r="M19" s="29" t="s">
        <v>20</v>
      </c>
      <c r="N19" s="29" t="s">
        <v>20</v>
      </c>
    </row>
    <row r="20" spans="1:14">
      <c r="A20" s="6" t="s">
        <v>58</v>
      </c>
      <c r="B20" s="9" t="s">
        <v>59</v>
      </c>
      <c r="C20" s="9" t="s">
        <v>60</v>
      </c>
      <c r="D20" s="9">
        <v>19</v>
      </c>
      <c r="E20" s="29">
        <v>43590263</v>
      </c>
      <c r="F20" s="31" t="s">
        <v>61</v>
      </c>
      <c r="G20" s="31" t="s">
        <v>17</v>
      </c>
      <c r="H20" s="29" t="s">
        <v>18</v>
      </c>
      <c r="I20" s="30">
        <v>2026</v>
      </c>
      <c r="J20" s="29">
        <v>3</v>
      </c>
      <c r="K20" s="29" t="str">
        <f t="shared" si="0"/>
        <v>Marzo</v>
      </c>
      <c r="L20" s="29" t="s">
        <v>19</v>
      </c>
      <c r="M20" s="29" t="s">
        <v>20</v>
      </c>
      <c r="N20" s="29" t="s">
        <v>19</v>
      </c>
    </row>
    <row r="21" spans="1:14">
      <c r="A21" s="6" t="s">
        <v>30</v>
      </c>
      <c r="B21" s="9" t="s">
        <v>62</v>
      </c>
      <c r="C21" s="9" t="s">
        <v>63</v>
      </c>
      <c r="D21" s="9">
        <v>20</v>
      </c>
      <c r="E21" s="29">
        <v>43556951</v>
      </c>
      <c r="F21" s="31" t="s">
        <v>64</v>
      </c>
      <c r="G21" s="31" t="s">
        <v>52</v>
      </c>
      <c r="H21" s="29" t="s">
        <v>18</v>
      </c>
      <c r="I21" s="30">
        <v>2026</v>
      </c>
      <c r="J21" s="29">
        <v>3</v>
      </c>
      <c r="K21" s="29" t="str">
        <f t="shared" si="0"/>
        <v>Marzo</v>
      </c>
      <c r="L21" s="29" t="s">
        <v>19</v>
      </c>
      <c r="M21" s="29" t="s">
        <v>20</v>
      </c>
      <c r="N21" s="29" t="s">
        <v>20</v>
      </c>
    </row>
    <row r="22" spans="1:14">
      <c r="A22" s="6" t="s">
        <v>30</v>
      </c>
      <c r="B22" s="9" t="s">
        <v>62</v>
      </c>
      <c r="C22" s="9" t="s">
        <v>65</v>
      </c>
      <c r="D22" s="9">
        <v>21</v>
      </c>
      <c r="E22" s="29">
        <v>43556946</v>
      </c>
      <c r="F22" s="31" t="s">
        <v>66</v>
      </c>
      <c r="G22" s="31" t="s">
        <v>52</v>
      </c>
      <c r="H22" s="29" t="s">
        <v>18</v>
      </c>
      <c r="I22" s="30">
        <v>2026</v>
      </c>
      <c r="J22" s="29">
        <v>3</v>
      </c>
      <c r="K22" s="29" t="str">
        <f t="shared" si="0"/>
        <v>Marzo</v>
      </c>
      <c r="L22" s="29" t="s">
        <v>19</v>
      </c>
      <c r="M22" s="29" t="s">
        <v>20</v>
      </c>
      <c r="N22" s="29" t="s">
        <v>20</v>
      </c>
    </row>
    <row r="23" spans="1:14">
      <c r="A23" s="6" t="s">
        <v>30</v>
      </c>
      <c r="B23" s="9" t="s">
        <v>62</v>
      </c>
      <c r="C23" s="9" t="s">
        <v>65</v>
      </c>
      <c r="D23" s="9">
        <v>22</v>
      </c>
      <c r="E23" s="29">
        <v>43556943</v>
      </c>
      <c r="F23" s="31" t="s">
        <v>67</v>
      </c>
      <c r="G23" s="31" t="s">
        <v>52</v>
      </c>
      <c r="H23" s="29" t="s">
        <v>18</v>
      </c>
      <c r="I23" s="30">
        <v>2026</v>
      </c>
      <c r="J23" s="29">
        <v>3</v>
      </c>
      <c r="K23" s="29" t="str">
        <f t="shared" si="0"/>
        <v>Marzo</v>
      </c>
      <c r="L23" s="29" t="s">
        <v>19</v>
      </c>
      <c r="M23" s="29" t="s">
        <v>20</v>
      </c>
      <c r="N23" s="29" t="s">
        <v>20</v>
      </c>
    </row>
    <row r="24" spans="1:14">
      <c r="A24" s="6" t="s">
        <v>30</v>
      </c>
      <c r="B24" s="9" t="s">
        <v>62</v>
      </c>
      <c r="C24" s="9" t="s">
        <v>68</v>
      </c>
      <c r="D24" s="9">
        <v>23</v>
      </c>
      <c r="E24" s="29">
        <v>43556947</v>
      </c>
      <c r="F24" s="31" t="s">
        <v>69</v>
      </c>
      <c r="G24" s="31" t="s">
        <v>52</v>
      </c>
      <c r="H24" s="29" t="s">
        <v>18</v>
      </c>
      <c r="I24" s="30">
        <v>2026</v>
      </c>
      <c r="J24" s="29">
        <v>3</v>
      </c>
      <c r="K24" s="29" t="str">
        <f t="shared" si="0"/>
        <v>Marzo</v>
      </c>
      <c r="L24" s="29" t="s">
        <v>19</v>
      </c>
      <c r="M24" s="29" t="s">
        <v>20</v>
      </c>
      <c r="N24" s="29" t="s">
        <v>20</v>
      </c>
    </row>
    <row r="25" spans="1:14">
      <c r="A25" s="6" t="s">
        <v>30</v>
      </c>
      <c r="B25" s="9" t="s">
        <v>62</v>
      </c>
      <c r="C25" s="9" t="s">
        <v>70</v>
      </c>
      <c r="D25" s="9">
        <v>24</v>
      </c>
      <c r="E25" s="29">
        <v>43556949</v>
      </c>
      <c r="F25" s="31" t="s">
        <v>71</v>
      </c>
      <c r="G25" s="31" t="s">
        <v>52</v>
      </c>
      <c r="H25" s="29" t="s">
        <v>18</v>
      </c>
      <c r="I25" s="30">
        <v>2026</v>
      </c>
      <c r="J25" s="29">
        <v>3</v>
      </c>
      <c r="K25" s="29" t="str">
        <f t="shared" si="0"/>
        <v>Marzo</v>
      </c>
      <c r="L25" s="29" t="s">
        <v>19</v>
      </c>
      <c r="M25" s="29" t="s">
        <v>20</v>
      </c>
      <c r="N25" s="29" t="s">
        <v>20</v>
      </c>
    </row>
    <row r="26" spans="1:14">
      <c r="A26" s="6" t="s">
        <v>30</v>
      </c>
      <c r="B26" s="9" t="s">
        <v>62</v>
      </c>
      <c r="C26" s="9" t="s">
        <v>65</v>
      </c>
      <c r="D26" s="9">
        <v>25</v>
      </c>
      <c r="E26" s="29">
        <v>43556944</v>
      </c>
      <c r="F26" s="31" t="s">
        <v>72</v>
      </c>
      <c r="G26" s="31" t="s">
        <v>52</v>
      </c>
      <c r="H26" s="29" t="s">
        <v>18</v>
      </c>
      <c r="I26" s="30">
        <v>2026</v>
      </c>
      <c r="J26" s="29">
        <v>3</v>
      </c>
      <c r="K26" s="29" t="str">
        <f t="shared" si="0"/>
        <v>Marzo</v>
      </c>
      <c r="L26" s="29" t="s">
        <v>19</v>
      </c>
      <c r="M26" s="29" t="s">
        <v>20</v>
      </c>
      <c r="N26" s="29" t="s">
        <v>20</v>
      </c>
    </row>
    <row r="27" spans="1:14">
      <c r="A27" s="6" t="s">
        <v>30</v>
      </c>
      <c r="B27" s="9" t="s">
        <v>62</v>
      </c>
      <c r="C27" s="9" t="s">
        <v>68</v>
      </c>
      <c r="D27" s="9">
        <v>26</v>
      </c>
      <c r="E27" s="29">
        <v>43556945</v>
      </c>
      <c r="F27" s="31" t="s">
        <v>73</v>
      </c>
      <c r="G27" s="31" t="s">
        <v>52</v>
      </c>
      <c r="H27" s="29" t="s">
        <v>18</v>
      </c>
      <c r="I27" s="30">
        <v>2026</v>
      </c>
      <c r="J27" s="29">
        <v>3</v>
      </c>
      <c r="K27" s="29" t="str">
        <f t="shared" si="0"/>
        <v>Marzo</v>
      </c>
      <c r="L27" s="29" t="s">
        <v>19</v>
      </c>
      <c r="M27" s="29" t="s">
        <v>20</v>
      </c>
      <c r="N27" s="29" t="s">
        <v>20</v>
      </c>
    </row>
    <row r="28" spans="1:14">
      <c r="A28" s="6" t="s">
        <v>30</v>
      </c>
      <c r="B28" s="9" t="s">
        <v>31</v>
      </c>
      <c r="C28" s="9" t="s">
        <v>32</v>
      </c>
      <c r="D28" s="9">
        <v>27</v>
      </c>
      <c r="E28" s="29">
        <v>43556948</v>
      </c>
      <c r="F28" s="31" t="s">
        <v>74</v>
      </c>
      <c r="G28" s="31" t="s">
        <v>52</v>
      </c>
      <c r="H28" s="29" t="s">
        <v>18</v>
      </c>
      <c r="I28" s="30">
        <v>2026</v>
      </c>
      <c r="J28" s="29">
        <v>3</v>
      </c>
      <c r="K28" s="29" t="str">
        <f t="shared" si="0"/>
        <v>Marzo</v>
      </c>
      <c r="L28" s="29" t="s">
        <v>19</v>
      </c>
      <c r="M28" s="29" t="s">
        <v>20</v>
      </c>
      <c r="N28" s="29" t="s">
        <v>20</v>
      </c>
    </row>
    <row r="29" spans="1:14">
      <c r="A29" s="6" t="s">
        <v>30</v>
      </c>
      <c r="B29" s="9" t="s">
        <v>31</v>
      </c>
      <c r="C29" s="9" t="s">
        <v>32</v>
      </c>
      <c r="D29" s="9">
        <v>28</v>
      </c>
      <c r="E29" s="29">
        <v>43556954</v>
      </c>
      <c r="F29" s="31" t="s">
        <v>75</v>
      </c>
      <c r="G29" s="31" t="s">
        <v>52</v>
      </c>
      <c r="H29" s="29" t="s">
        <v>18</v>
      </c>
      <c r="I29" s="30">
        <v>2026</v>
      </c>
      <c r="J29" s="29">
        <v>3</v>
      </c>
      <c r="K29" s="29" t="str">
        <f t="shared" si="0"/>
        <v>Marzo</v>
      </c>
      <c r="L29" s="29" t="s">
        <v>19</v>
      </c>
      <c r="M29" s="29" t="s">
        <v>20</v>
      </c>
      <c r="N29" s="29" t="s">
        <v>20</v>
      </c>
    </row>
    <row r="30" spans="1:14">
      <c r="A30" s="6" t="s">
        <v>30</v>
      </c>
      <c r="B30" s="9" t="s">
        <v>31</v>
      </c>
      <c r="C30" s="9" t="s">
        <v>56</v>
      </c>
      <c r="D30" s="9">
        <v>29</v>
      </c>
      <c r="E30" s="29">
        <v>43556953</v>
      </c>
      <c r="F30" s="31" t="s">
        <v>76</v>
      </c>
      <c r="G30" s="31" t="s">
        <v>52</v>
      </c>
      <c r="H30" s="29" t="s">
        <v>18</v>
      </c>
      <c r="I30" s="30">
        <v>2026</v>
      </c>
      <c r="J30" s="29">
        <v>3</v>
      </c>
      <c r="K30" s="29" t="str">
        <f t="shared" si="0"/>
        <v>Marzo</v>
      </c>
      <c r="L30" s="29" t="s">
        <v>19</v>
      </c>
      <c r="M30" s="29" t="s">
        <v>20</v>
      </c>
      <c r="N30" s="29" t="s">
        <v>20</v>
      </c>
    </row>
    <row r="31" spans="1:14">
      <c r="A31" s="6" t="s">
        <v>77</v>
      </c>
      <c r="B31" s="9" t="s">
        <v>78</v>
      </c>
      <c r="C31" s="9" t="s">
        <v>79</v>
      </c>
      <c r="D31" s="9">
        <v>30</v>
      </c>
      <c r="E31" s="29">
        <v>43558144</v>
      </c>
      <c r="F31" s="31" t="s">
        <v>80</v>
      </c>
      <c r="G31" s="31" t="s">
        <v>17</v>
      </c>
      <c r="H31" s="29" t="s">
        <v>18</v>
      </c>
      <c r="I31" s="30">
        <v>2026</v>
      </c>
      <c r="J31" s="29">
        <v>3</v>
      </c>
      <c r="K31" s="29" t="str">
        <f t="shared" si="0"/>
        <v>Marzo</v>
      </c>
      <c r="L31" s="29" t="s">
        <v>19</v>
      </c>
      <c r="M31" s="29" t="s">
        <v>20</v>
      </c>
      <c r="N31" s="29" t="s">
        <v>19</v>
      </c>
    </row>
    <row r="32" spans="1:14">
      <c r="A32" s="6" t="s">
        <v>81</v>
      </c>
      <c r="B32" s="9" t="s">
        <v>82</v>
      </c>
      <c r="C32" s="9" t="s">
        <v>83</v>
      </c>
      <c r="D32" s="9">
        <v>31</v>
      </c>
      <c r="E32" s="29">
        <v>40530088</v>
      </c>
      <c r="F32" s="31" t="s">
        <v>84</v>
      </c>
      <c r="G32" s="31" t="s">
        <v>17</v>
      </c>
      <c r="H32" s="29" t="s">
        <v>18</v>
      </c>
      <c r="I32" s="30">
        <v>2026</v>
      </c>
      <c r="J32" s="29">
        <v>3</v>
      </c>
      <c r="K32" s="29" t="str">
        <f t="shared" si="0"/>
        <v>Marzo</v>
      </c>
      <c r="L32" s="29" t="s">
        <v>19</v>
      </c>
      <c r="M32" s="29" t="s">
        <v>20</v>
      </c>
      <c r="N32" s="29" t="s">
        <v>19</v>
      </c>
    </row>
    <row r="33" spans="1:14">
      <c r="A33" s="6" t="s">
        <v>46</v>
      </c>
      <c r="B33" s="9" t="s">
        <v>85</v>
      </c>
      <c r="C33" s="9" t="s">
        <v>86</v>
      </c>
      <c r="D33" s="9">
        <v>32</v>
      </c>
      <c r="E33" s="29">
        <v>43596765</v>
      </c>
      <c r="F33" s="31" t="s">
        <v>87</v>
      </c>
      <c r="G33" s="31" t="s">
        <v>17</v>
      </c>
      <c r="H33" s="29" t="s">
        <v>18</v>
      </c>
      <c r="I33" s="30">
        <v>2026</v>
      </c>
      <c r="J33" s="29">
        <v>3</v>
      </c>
      <c r="K33" s="29" t="str">
        <f t="shared" si="0"/>
        <v>Marzo</v>
      </c>
      <c r="L33" s="29" t="s">
        <v>19</v>
      </c>
      <c r="M33" s="29" t="s">
        <v>20</v>
      </c>
      <c r="N33" s="29" t="s">
        <v>50</v>
      </c>
    </row>
    <row r="34" spans="1:14">
      <c r="A34" s="27" t="s">
        <v>13</v>
      </c>
      <c r="B34" s="26" t="s">
        <v>88</v>
      </c>
      <c r="C34" s="26" t="s">
        <v>89</v>
      </c>
      <c r="D34" s="9">
        <v>33</v>
      </c>
      <c r="E34" s="29">
        <v>43590871</v>
      </c>
      <c r="F34" s="31" t="s">
        <v>90</v>
      </c>
      <c r="G34" s="31" t="s">
        <v>52</v>
      </c>
      <c r="H34" s="29" t="s">
        <v>18</v>
      </c>
      <c r="I34" s="29"/>
      <c r="J34" s="29">
        <v>3</v>
      </c>
      <c r="K34" s="29" t="str">
        <f t="shared" ref="K34:K65" si="1">IF(J34=1,"Enero",IF(J34=2,"Febrero","Marzo"))</f>
        <v>Marzo</v>
      </c>
      <c r="L34" s="29" t="s">
        <v>19</v>
      </c>
      <c r="M34" s="29" t="s">
        <v>20</v>
      </c>
      <c r="N34" s="29" t="s">
        <v>20</v>
      </c>
    </row>
    <row r="35" spans="1:14">
      <c r="A35" s="27" t="s">
        <v>13</v>
      </c>
      <c r="B35" s="26" t="s">
        <v>88</v>
      </c>
      <c r="C35" s="26" t="s">
        <v>89</v>
      </c>
      <c r="D35" s="9">
        <v>34</v>
      </c>
      <c r="E35" s="29">
        <v>43590870</v>
      </c>
      <c r="F35" s="31" t="s">
        <v>91</v>
      </c>
      <c r="G35" s="31" t="s">
        <v>52</v>
      </c>
      <c r="H35" s="29" t="s">
        <v>18</v>
      </c>
      <c r="I35" s="29"/>
      <c r="J35" s="29">
        <v>3</v>
      </c>
      <c r="K35" s="29" t="str">
        <f t="shared" si="1"/>
        <v>Marzo</v>
      </c>
      <c r="L35" s="29" t="s">
        <v>19</v>
      </c>
      <c r="M35" s="29" t="s">
        <v>20</v>
      </c>
      <c r="N35" s="29" t="s">
        <v>20</v>
      </c>
    </row>
    <row r="36" spans="1:14">
      <c r="A36" s="6" t="s">
        <v>30</v>
      </c>
      <c r="B36" s="9" t="s">
        <v>62</v>
      </c>
      <c r="C36" s="9" t="s">
        <v>92</v>
      </c>
      <c r="D36" s="9">
        <v>35</v>
      </c>
      <c r="E36" s="29">
        <v>42500654</v>
      </c>
      <c r="F36" s="31" t="s">
        <v>93</v>
      </c>
      <c r="G36" s="31" t="s">
        <v>17</v>
      </c>
      <c r="H36" s="29" t="s">
        <v>94</v>
      </c>
      <c r="I36" s="30">
        <v>2026</v>
      </c>
      <c r="J36" s="29">
        <v>2</v>
      </c>
      <c r="K36" s="29" t="str">
        <f t="shared" si="1"/>
        <v>Febrero</v>
      </c>
      <c r="L36" s="29" t="s">
        <v>19</v>
      </c>
      <c r="M36" s="29" t="s">
        <v>19</v>
      </c>
      <c r="N36" s="29" t="s">
        <v>19</v>
      </c>
    </row>
    <row r="37" spans="1:14">
      <c r="A37" s="6" t="s">
        <v>95</v>
      </c>
      <c r="B37" s="9" t="s">
        <v>96</v>
      </c>
      <c r="C37" s="9" t="s">
        <v>97</v>
      </c>
      <c r="D37" s="9">
        <v>36</v>
      </c>
      <c r="E37" s="29">
        <v>43557144</v>
      </c>
      <c r="F37" s="31" t="s">
        <v>98</v>
      </c>
      <c r="G37" s="31" t="s">
        <v>17</v>
      </c>
      <c r="H37" s="29" t="s">
        <v>94</v>
      </c>
      <c r="I37" s="30">
        <v>2026</v>
      </c>
      <c r="J37" s="29">
        <v>2</v>
      </c>
      <c r="K37" s="29" t="str">
        <f t="shared" si="1"/>
        <v>Febrero</v>
      </c>
      <c r="L37" s="29" t="s">
        <v>19</v>
      </c>
      <c r="M37" s="29" t="s">
        <v>19</v>
      </c>
      <c r="N37" s="29" t="s">
        <v>19</v>
      </c>
    </row>
    <row r="38" spans="1:14">
      <c r="A38" s="6" t="s">
        <v>95</v>
      </c>
      <c r="B38" s="9" t="s">
        <v>96</v>
      </c>
      <c r="C38" s="9" t="s">
        <v>97</v>
      </c>
      <c r="D38" s="9">
        <v>37</v>
      </c>
      <c r="E38" s="29">
        <v>43557143</v>
      </c>
      <c r="F38" s="31" t="s">
        <v>99</v>
      </c>
      <c r="G38" s="31" t="s">
        <v>17</v>
      </c>
      <c r="H38" s="29" t="s">
        <v>94</v>
      </c>
      <c r="I38" s="30">
        <v>2026</v>
      </c>
      <c r="J38" s="29">
        <v>2</v>
      </c>
      <c r="K38" s="29" t="str">
        <f t="shared" si="1"/>
        <v>Febrero</v>
      </c>
      <c r="L38" s="29" t="s">
        <v>19</v>
      </c>
      <c r="M38" s="29" t="s">
        <v>19</v>
      </c>
      <c r="N38" s="29" t="s">
        <v>19</v>
      </c>
    </row>
    <row r="39" spans="1:14">
      <c r="A39" s="6" t="s">
        <v>95</v>
      </c>
      <c r="B39" s="9" t="s">
        <v>96</v>
      </c>
      <c r="C39" s="9" t="s">
        <v>97</v>
      </c>
      <c r="D39" s="9">
        <v>38</v>
      </c>
      <c r="E39" s="29">
        <v>43557145</v>
      </c>
      <c r="F39" s="31" t="s">
        <v>100</v>
      </c>
      <c r="G39" s="31" t="s">
        <v>17</v>
      </c>
      <c r="H39" s="29" t="s">
        <v>94</v>
      </c>
      <c r="I39" s="30">
        <v>2026</v>
      </c>
      <c r="J39" s="29">
        <v>2</v>
      </c>
      <c r="K39" s="29" t="str">
        <f t="shared" si="1"/>
        <v>Febrero</v>
      </c>
      <c r="L39" s="29" t="s">
        <v>19</v>
      </c>
      <c r="M39" s="29" t="s">
        <v>19</v>
      </c>
      <c r="N39" s="29" t="s">
        <v>19</v>
      </c>
    </row>
    <row r="40" spans="1:14">
      <c r="A40" s="6" t="s">
        <v>30</v>
      </c>
      <c r="B40" s="9" t="s">
        <v>62</v>
      </c>
      <c r="C40" s="9" t="s">
        <v>68</v>
      </c>
      <c r="D40" s="9">
        <v>39</v>
      </c>
      <c r="E40" s="29">
        <v>43556433</v>
      </c>
      <c r="F40" s="31" t="s">
        <v>101</v>
      </c>
      <c r="G40" s="31" t="s">
        <v>17</v>
      </c>
      <c r="H40" s="29" t="s">
        <v>94</v>
      </c>
      <c r="I40" s="30">
        <v>2026</v>
      </c>
      <c r="J40" s="29">
        <v>1</v>
      </c>
      <c r="K40" s="29" t="str">
        <f t="shared" si="1"/>
        <v>Enero</v>
      </c>
      <c r="L40" s="29" t="s">
        <v>19</v>
      </c>
      <c r="M40" s="29" t="s">
        <v>19</v>
      </c>
      <c r="N40" s="29" t="s">
        <v>19</v>
      </c>
    </row>
    <row r="41" spans="1:14">
      <c r="A41" s="6" t="s">
        <v>30</v>
      </c>
      <c r="B41" s="9" t="s">
        <v>62</v>
      </c>
      <c r="C41" s="9" t="s">
        <v>68</v>
      </c>
      <c r="D41" s="9">
        <v>40</v>
      </c>
      <c r="E41" s="29">
        <v>43556434</v>
      </c>
      <c r="F41" s="31" t="s">
        <v>102</v>
      </c>
      <c r="G41" s="31" t="s">
        <v>17</v>
      </c>
      <c r="H41" s="29" t="s">
        <v>94</v>
      </c>
      <c r="I41" s="30">
        <v>2026</v>
      </c>
      <c r="J41" s="29">
        <v>1</v>
      </c>
      <c r="K41" s="29" t="str">
        <f t="shared" si="1"/>
        <v>Enero</v>
      </c>
      <c r="L41" s="29" t="s">
        <v>19</v>
      </c>
      <c r="M41" s="29" t="s">
        <v>19</v>
      </c>
      <c r="N41" s="29" t="s">
        <v>19</v>
      </c>
    </row>
    <row r="42" spans="1:14">
      <c r="A42" s="6" t="s">
        <v>30</v>
      </c>
      <c r="B42" s="9" t="s">
        <v>62</v>
      </c>
      <c r="C42" s="9" t="s">
        <v>68</v>
      </c>
      <c r="D42" s="9">
        <v>41</v>
      </c>
      <c r="E42" s="29">
        <v>43556435</v>
      </c>
      <c r="F42" s="31" t="s">
        <v>103</v>
      </c>
      <c r="G42" s="31" t="s">
        <v>17</v>
      </c>
      <c r="H42" s="29" t="s">
        <v>94</v>
      </c>
      <c r="I42" s="30">
        <v>2026</v>
      </c>
      <c r="J42" s="29">
        <v>1</v>
      </c>
      <c r="K42" s="29" t="str">
        <f t="shared" si="1"/>
        <v>Enero</v>
      </c>
      <c r="L42" s="29" t="s">
        <v>19</v>
      </c>
      <c r="M42" s="29" t="s">
        <v>19</v>
      </c>
      <c r="N42" s="29" t="s">
        <v>19</v>
      </c>
    </row>
    <row r="43" spans="1:14">
      <c r="A43" s="6" t="s">
        <v>46</v>
      </c>
      <c r="B43" s="9" t="s">
        <v>47</v>
      </c>
      <c r="C43" s="9" t="s">
        <v>48</v>
      </c>
      <c r="D43" s="9">
        <v>42</v>
      </c>
      <c r="E43" s="29">
        <v>43590246</v>
      </c>
      <c r="F43" s="31" t="s">
        <v>104</v>
      </c>
      <c r="G43" s="31" t="s">
        <v>17</v>
      </c>
      <c r="H43" s="29" t="s">
        <v>94</v>
      </c>
      <c r="I43" s="30">
        <v>2026</v>
      </c>
      <c r="J43" s="29">
        <v>1</v>
      </c>
      <c r="K43" s="29" t="str">
        <f t="shared" si="1"/>
        <v>Enero</v>
      </c>
      <c r="L43" s="29" t="s">
        <v>19</v>
      </c>
      <c r="M43" s="29" t="s">
        <v>50</v>
      </c>
      <c r="N43" s="29" t="s">
        <v>50</v>
      </c>
    </row>
    <row r="44" spans="1:14">
      <c r="A44" s="6" t="s">
        <v>46</v>
      </c>
      <c r="B44" s="9" t="s">
        <v>47</v>
      </c>
      <c r="C44" s="9" t="s">
        <v>48</v>
      </c>
      <c r="D44" s="9">
        <v>43</v>
      </c>
      <c r="E44" s="29">
        <v>43590247</v>
      </c>
      <c r="F44" s="31" t="s">
        <v>105</v>
      </c>
      <c r="G44" s="31" t="s">
        <v>17</v>
      </c>
      <c r="H44" s="29" t="s">
        <v>94</v>
      </c>
      <c r="I44" s="30">
        <v>2026</v>
      </c>
      <c r="J44" s="29">
        <v>1</v>
      </c>
      <c r="K44" s="29" t="str">
        <f t="shared" si="1"/>
        <v>Enero</v>
      </c>
      <c r="L44" s="29" t="s">
        <v>19</v>
      </c>
      <c r="M44" s="29" t="s">
        <v>50</v>
      </c>
      <c r="N44" s="29" t="s">
        <v>50</v>
      </c>
    </row>
    <row r="45" spans="1:14">
      <c r="A45" s="6" t="s">
        <v>46</v>
      </c>
      <c r="B45" s="9" t="s">
        <v>47</v>
      </c>
      <c r="C45" s="9" t="s">
        <v>48</v>
      </c>
      <c r="D45" s="9">
        <v>44</v>
      </c>
      <c r="E45" s="29">
        <v>43590248</v>
      </c>
      <c r="F45" s="31" t="s">
        <v>106</v>
      </c>
      <c r="G45" s="31" t="s">
        <v>17</v>
      </c>
      <c r="H45" s="29" t="s">
        <v>94</v>
      </c>
      <c r="I45" s="30">
        <v>2026</v>
      </c>
      <c r="J45" s="29">
        <v>1</v>
      </c>
      <c r="K45" s="29" t="str">
        <f t="shared" si="1"/>
        <v>Enero</v>
      </c>
      <c r="L45" s="29" t="s">
        <v>19</v>
      </c>
      <c r="M45" s="29" t="s">
        <v>19</v>
      </c>
      <c r="N45" s="29" t="s">
        <v>50</v>
      </c>
    </row>
    <row r="46" spans="1:14">
      <c r="A46" s="6" t="s">
        <v>107</v>
      </c>
      <c r="B46" s="9" t="s">
        <v>108</v>
      </c>
      <c r="C46" s="9" t="s">
        <v>109</v>
      </c>
      <c r="D46" s="9">
        <v>45</v>
      </c>
      <c r="E46" s="29">
        <v>43545624</v>
      </c>
      <c r="F46" s="31" t="s">
        <v>110</v>
      </c>
      <c r="G46" s="31" t="s">
        <v>17</v>
      </c>
      <c r="H46" s="29" t="s">
        <v>94</v>
      </c>
      <c r="I46" s="30">
        <v>2026</v>
      </c>
      <c r="J46" s="29">
        <v>2</v>
      </c>
      <c r="K46" s="29" t="str">
        <f t="shared" si="1"/>
        <v>Febrero</v>
      </c>
      <c r="L46" s="29" t="s">
        <v>19</v>
      </c>
      <c r="M46" s="29" t="s">
        <v>19</v>
      </c>
      <c r="N46" s="29" t="s">
        <v>19</v>
      </c>
    </row>
    <row r="47" spans="1:14">
      <c r="A47" s="6" t="s">
        <v>107</v>
      </c>
      <c r="B47" s="9" t="s">
        <v>108</v>
      </c>
      <c r="C47" s="9" t="s">
        <v>109</v>
      </c>
      <c r="D47" s="9">
        <v>46</v>
      </c>
      <c r="E47" s="29">
        <v>43545621</v>
      </c>
      <c r="F47" s="31" t="s">
        <v>111</v>
      </c>
      <c r="G47" s="31" t="s">
        <v>17</v>
      </c>
      <c r="H47" s="29" t="s">
        <v>94</v>
      </c>
      <c r="I47" s="30">
        <v>2026</v>
      </c>
      <c r="J47" s="29">
        <v>2</v>
      </c>
      <c r="K47" s="29" t="str">
        <f t="shared" si="1"/>
        <v>Febrero</v>
      </c>
      <c r="L47" s="29" t="s">
        <v>19</v>
      </c>
      <c r="M47" s="29" t="s">
        <v>19</v>
      </c>
      <c r="N47" s="29" t="s">
        <v>19</v>
      </c>
    </row>
    <row r="48" spans="1:14">
      <c r="A48" s="6" t="s">
        <v>107</v>
      </c>
      <c r="B48" s="9" t="s">
        <v>108</v>
      </c>
      <c r="C48" s="9" t="s">
        <v>109</v>
      </c>
      <c r="D48" s="9">
        <v>47</v>
      </c>
      <c r="E48" s="29">
        <v>43545620</v>
      </c>
      <c r="F48" s="31" t="s">
        <v>112</v>
      </c>
      <c r="G48" s="31" t="s">
        <v>17</v>
      </c>
      <c r="H48" s="29" t="s">
        <v>94</v>
      </c>
      <c r="I48" s="30">
        <v>2026</v>
      </c>
      <c r="J48" s="29">
        <v>2</v>
      </c>
      <c r="K48" s="29" t="str">
        <f t="shared" si="1"/>
        <v>Febrero</v>
      </c>
      <c r="L48" s="29" t="s">
        <v>19</v>
      </c>
      <c r="M48" s="29" t="s">
        <v>19</v>
      </c>
      <c r="N48" s="29" t="s">
        <v>19</v>
      </c>
    </row>
    <row r="49" spans="1:14">
      <c r="A49" s="6" t="s">
        <v>107</v>
      </c>
      <c r="B49" s="9" t="s">
        <v>108</v>
      </c>
      <c r="C49" s="9" t="s">
        <v>109</v>
      </c>
      <c r="D49" s="9">
        <v>48</v>
      </c>
      <c r="E49" s="29">
        <v>43545622</v>
      </c>
      <c r="F49" s="31" t="s">
        <v>113</v>
      </c>
      <c r="G49" s="31" t="s">
        <v>17</v>
      </c>
      <c r="H49" s="29" t="s">
        <v>94</v>
      </c>
      <c r="I49" s="30">
        <v>2026</v>
      </c>
      <c r="J49" s="29">
        <v>2</v>
      </c>
      <c r="K49" s="29" t="str">
        <f t="shared" si="1"/>
        <v>Febrero</v>
      </c>
      <c r="L49" s="29" t="s">
        <v>19</v>
      </c>
      <c r="M49" s="29" t="s">
        <v>19</v>
      </c>
      <c r="N49" s="29" t="s">
        <v>19</v>
      </c>
    </row>
    <row r="50" spans="1:14">
      <c r="A50" s="6" t="s">
        <v>107</v>
      </c>
      <c r="B50" s="9" t="s">
        <v>108</v>
      </c>
      <c r="C50" s="9" t="s">
        <v>109</v>
      </c>
      <c r="D50" s="9">
        <v>49</v>
      </c>
      <c r="E50" s="29">
        <v>43545623</v>
      </c>
      <c r="F50" s="31" t="s">
        <v>114</v>
      </c>
      <c r="G50" s="31" t="s">
        <v>17</v>
      </c>
      <c r="H50" s="29" t="s">
        <v>94</v>
      </c>
      <c r="I50" s="30">
        <v>2026</v>
      </c>
      <c r="J50" s="29">
        <v>2</v>
      </c>
      <c r="K50" s="29" t="str">
        <f t="shared" si="1"/>
        <v>Febrero</v>
      </c>
      <c r="L50" s="29" t="s">
        <v>19</v>
      </c>
      <c r="M50" s="29" t="s">
        <v>19</v>
      </c>
      <c r="N50" s="29" t="s">
        <v>19</v>
      </c>
    </row>
    <row r="51" spans="1:14">
      <c r="A51" s="6" t="s">
        <v>107</v>
      </c>
      <c r="B51" s="9" t="s">
        <v>108</v>
      </c>
      <c r="C51" s="9" t="s">
        <v>109</v>
      </c>
      <c r="D51" s="9">
        <v>50</v>
      </c>
      <c r="E51" s="29">
        <v>43545632</v>
      </c>
      <c r="F51" s="31" t="s">
        <v>115</v>
      </c>
      <c r="G51" s="31" t="s">
        <v>52</v>
      </c>
      <c r="H51" s="29" t="s">
        <v>94</v>
      </c>
      <c r="I51" s="30">
        <v>2026</v>
      </c>
      <c r="J51" s="29">
        <v>2</v>
      </c>
      <c r="K51" s="29" t="str">
        <f t="shared" si="1"/>
        <v>Febrero</v>
      </c>
      <c r="L51" s="29" t="s">
        <v>19</v>
      </c>
      <c r="M51" s="29" t="s">
        <v>19</v>
      </c>
      <c r="N51" s="29" t="s">
        <v>20</v>
      </c>
    </row>
    <row r="52" spans="1:14">
      <c r="A52" s="6" t="s">
        <v>107</v>
      </c>
      <c r="B52" s="9" t="s">
        <v>108</v>
      </c>
      <c r="C52" s="9" t="s">
        <v>109</v>
      </c>
      <c r="D52" s="9">
        <v>51</v>
      </c>
      <c r="E52" s="29">
        <v>43545633</v>
      </c>
      <c r="F52" s="31" t="s">
        <v>116</v>
      </c>
      <c r="G52" s="31" t="s">
        <v>52</v>
      </c>
      <c r="H52" s="29" t="s">
        <v>94</v>
      </c>
      <c r="I52" s="30">
        <v>2026</v>
      </c>
      <c r="J52" s="29">
        <v>2</v>
      </c>
      <c r="K52" s="29" t="str">
        <f t="shared" si="1"/>
        <v>Febrero</v>
      </c>
      <c r="L52" s="29" t="s">
        <v>19</v>
      </c>
      <c r="M52" s="29" t="s">
        <v>19</v>
      </c>
      <c r="N52" s="29" t="s">
        <v>20</v>
      </c>
    </row>
    <row r="53" spans="1:14">
      <c r="A53" s="6" t="s">
        <v>107</v>
      </c>
      <c r="B53" s="9" t="s">
        <v>108</v>
      </c>
      <c r="C53" s="9" t="s">
        <v>109</v>
      </c>
      <c r="D53" s="9">
        <v>52</v>
      </c>
      <c r="E53" s="29">
        <v>43545631</v>
      </c>
      <c r="F53" s="31" t="s">
        <v>117</v>
      </c>
      <c r="G53" s="31" t="s">
        <v>52</v>
      </c>
      <c r="H53" s="29" t="s">
        <v>94</v>
      </c>
      <c r="I53" s="30">
        <v>2026</v>
      </c>
      <c r="J53" s="29">
        <v>2</v>
      </c>
      <c r="K53" s="29" t="str">
        <f t="shared" si="1"/>
        <v>Febrero</v>
      </c>
      <c r="L53" s="29" t="s">
        <v>19</v>
      </c>
      <c r="M53" s="29" t="s">
        <v>19</v>
      </c>
      <c r="N53" s="29" t="s">
        <v>20</v>
      </c>
    </row>
    <row r="54" spans="1:14">
      <c r="A54" s="6" t="s">
        <v>118</v>
      </c>
      <c r="B54" s="9" t="s">
        <v>119</v>
      </c>
      <c r="C54" s="9" t="s">
        <v>120</v>
      </c>
      <c r="D54" s="9">
        <v>53</v>
      </c>
      <c r="E54" s="29">
        <v>43566423</v>
      </c>
      <c r="F54" s="31" t="s">
        <v>121</v>
      </c>
      <c r="G54" s="31" t="s">
        <v>17</v>
      </c>
      <c r="H54" s="29" t="s">
        <v>94</v>
      </c>
      <c r="I54" s="30">
        <v>2026</v>
      </c>
      <c r="J54" s="29">
        <v>3</v>
      </c>
      <c r="K54" s="29" t="str">
        <f t="shared" si="1"/>
        <v>Marzo</v>
      </c>
      <c r="L54" s="29" t="s">
        <v>19</v>
      </c>
      <c r="M54" s="29" t="s">
        <v>19</v>
      </c>
      <c r="N54" s="29" t="s">
        <v>19</v>
      </c>
    </row>
    <row r="55" spans="1:14">
      <c r="A55" s="6" t="s">
        <v>118</v>
      </c>
      <c r="B55" s="9" t="s">
        <v>119</v>
      </c>
      <c r="C55" s="9" t="s">
        <v>120</v>
      </c>
      <c r="D55" s="9">
        <v>54</v>
      </c>
      <c r="E55" s="29">
        <v>43566420</v>
      </c>
      <c r="F55" s="31" t="s">
        <v>122</v>
      </c>
      <c r="G55" s="31" t="s">
        <v>17</v>
      </c>
      <c r="H55" s="29" t="s">
        <v>94</v>
      </c>
      <c r="I55" s="30">
        <v>2026</v>
      </c>
      <c r="J55" s="29">
        <v>3</v>
      </c>
      <c r="K55" s="29" t="str">
        <f t="shared" si="1"/>
        <v>Marzo</v>
      </c>
      <c r="L55" s="29" t="s">
        <v>19</v>
      </c>
      <c r="M55" s="29" t="s">
        <v>19</v>
      </c>
      <c r="N55" s="29" t="s">
        <v>19</v>
      </c>
    </row>
    <row r="56" spans="1:14">
      <c r="A56" s="6" t="s">
        <v>118</v>
      </c>
      <c r="B56" s="9" t="s">
        <v>119</v>
      </c>
      <c r="C56" s="9" t="s">
        <v>120</v>
      </c>
      <c r="D56" s="9">
        <v>55</v>
      </c>
      <c r="E56" s="29">
        <v>43566421</v>
      </c>
      <c r="F56" s="31" t="s">
        <v>123</v>
      </c>
      <c r="G56" s="31" t="s">
        <v>17</v>
      </c>
      <c r="H56" s="29" t="s">
        <v>94</v>
      </c>
      <c r="I56" s="30">
        <v>2026</v>
      </c>
      <c r="J56" s="29">
        <v>3</v>
      </c>
      <c r="K56" s="29" t="str">
        <f t="shared" si="1"/>
        <v>Marzo</v>
      </c>
      <c r="L56" s="29" t="s">
        <v>19</v>
      </c>
      <c r="M56" s="29" t="s">
        <v>19</v>
      </c>
      <c r="N56" s="29" t="s">
        <v>19</v>
      </c>
    </row>
    <row r="57" spans="1:14">
      <c r="A57" s="6" t="s">
        <v>118</v>
      </c>
      <c r="B57" s="9" t="s">
        <v>119</v>
      </c>
      <c r="C57" s="9" t="s">
        <v>120</v>
      </c>
      <c r="D57" s="9">
        <v>56</v>
      </c>
      <c r="E57" s="29">
        <v>43566422</v>
      </c>
      <c r="F57" s="31" t="s">
        <v>124</v>
      </c>
      <c r="G57" s="31" t="s">
        <v>17</v>
      </c>
      <c r="H57" s="29" t="s">
        <v>94</v>
      </c>
      <c r="I57" s="30">
        <v>2026</v>
      </c>
      <c r="J57" s="29">
        <v>3</v>
      </c>
      <c r="K57" s="29" t="str">
        <f t="shared" si="1"/>
        <v>Marzo</v>
      </c>
      <c r="L57" s="29" t="s">
        <v>19</v>
      </c>
      <c r="M57" s="29" t="s">
        <v>19</v>
      </c>
      <c r="N57" s="29" t="s">
        <v>19</v>
      </c>
    </row>
    <row r="58" spans="1:14">
      <c r="A58" s="6" t="s">
        <v>30</v>
      </c>
      <c r="B58" s="9" t="s">
        <v>31</v>
      </c>
      <c r="C58" s="9" t="s">
        <v>56</v>
      </c>
      <c r="D58" s="9">
        <v>57</v>
      </c>
      <c r="E58" s="29">
        <v>43573706</v>
      </c>
      <c r="F58" s="31" t="s">
        <v>125</v>
      </c>
      <c r="G58" s="31" t="s">
        <v>52</v>
      </c>
      <c r="H58" s="29" t="s">
        <v>94</v>
      </c>
      <c r="I58" s="30">
        <v>2026</v>
      </c>
      <c r="J58" s="29">
        <v>3</v>
      </c>
      <c r="K58" s="29" t="str">
        <f t="shared" si="1"/>
        <v>Marzo</v>
      </c>
      <c r="L58" s="29" t="s">
        <v>19</v>
      </c>
      <c r="M58" s="29" t="s">
        <v>19</v>
      </c>
      <c r="N58" s="29" t="s">
        <v>20</v>
      </c>
    </row>
    <row r="59" spans="1:14">
      <c r="A59" s="6" t="s">
        <v>30</v>
      </c>
      <c r="B59" s="9" t="s">
        <v>31</v>
      </c>
      <c r="C59" s="9" t="s">
        <v>56</v>
      </c>
      <c r="D59" s="9">
        <v>58</v>
      </c>
      <c r="E59" s="29">
        <v>43585265</v>
      </c>
      <c r="F59" s="31" t="s">
        <v>126</v>
      </c>
      <c r="G59" s="31" t="s">
        <v>52</v>
      </c>
      <c r="H59" s="29" t="s">
        <v>94</v>
      </c>
      <c r="I59" s="30">
        <v>2026</v>
      </c>
      <c r="J59" s="29">
        <v>3</v>
      </c>
      <c r="K59" s="29" t="str">
        <f t="shared" si="1"/>
        <v>Marzo</v>
      </c>
      <c r="L59" s="29" t="s">
        <v>19</v>
      </c>
      <c r="M59" s="29" t="s">
        <v>19</v>
      </c>
      <c r="N59" s="29" t="s">
        <v>20</v>
      </c>
    </row>
    <row r="60" spans="1:14">
      <c r="A60" s="27" t="s">
        <v>127</v>
      </c>
      <c r="B60" s="26" t="s">
        <v>128</v>
      </c>
      <c r="C60" s="26" t="s">
        <v>129</v>
      </c>
      <c r="D60" s="9">
        <v>59</v>
      </c>
      <c r="E60" s="29">
        <v>41044758</v>
      </c>
      <c r="F60" s="31" t="s">
        <v>130</v>
      </c>
      <c r="G60" s="31" t="s">
        <v>17</v>
      </c>
      <c r="H60" s="29" t="s">
        <v>94</v>
      </c>
      <c r="I60" s="29"/>
      <c r="J60" s="29">
        <v>2</v>
      </c>
      <c r="K60" s="29" t="str">
        <f t="shared" si="1"/>
        <v>Febrero</v>
      </c>
      <c r="L60" s="29" t="s">
        <v>19</v>
      </c>
      <c r="M60" s="29" t="s">
        <v>19</v>
      </c>
      <c r="N60" s="29" t="s">
        <v>19</v>
      </c>
    </row>
    <row r="61" spans="1:14">
      <c r="A61" s="6" t="s">
        <v>30</v>
      </c>
      <c r="B61" s="9" t="s">
        <v>31</v>
      </c>
      <c r="C61" s="9" t="s">
        <v>32</v>
      </c>
      <c r="D61" s="9">
        <v>60</v>
      </c>
      <c r="E61" s="29">
        <v>43556431</v>
      </c>
      <c r="F61" s="31" t="s">
        <v>131</v>
      </c>
      <c r="G61" s="31" t="s">
        <v>17</v>
      </c>
      <c r="H61" s="29" t="s">
        <v>132</v>
      </c>
      <c r="I61" s="30">
        <v>2026</v>
      </c>
      <c r="J61" s="29">
        <v>1</v>
      </c>
      <c r="K61" s="29" t="str">
        <f t="shared" si="1"/>
        <v>Enero</v>
      </c>
      <c r="L61" s="29" t="s">
        <v>50</v>
      </c>
      <c r="M61" s="29" t="s">
        <v>19</v>
      </c>
      <c r="N61" s="29" t="s">
        <v>19</v>
      </c>
    </row>
    <row r="62" spans="1:14">
      <c r="A62" s="6" t="s">
        <v>81</v>
      </c>
      <c r="B62" s="9" t="s">
        <v>96</v>
      </c>
      <c r="C62" s="9" t="s">
        <v>133</v>
      </c>
      <c r="D62" s="9">
        <v>61</v>
      </c>
      <c r="E62" s="29">
        <v>43569118</v>
      </c>
      <c r="F62" s="31" t="s">
        <v>134</v>
      </c>
      <c r="G62" s="31" t="s">
        <v>17</v>
      </c>
      <c r="H62" s="29" t="s">
        <v>132</v>
      </c>
      <c r="I62" s="30">
        <v>2026</v>
      </c>
      <c r="J62" s="29">
        <v>3</v>
      </c>
      <c r="K62" s="29" t="str">
        <f t="shared" si="1"/>
        <v>Marzo</v>
      </c>
      <c r="L62" s="29" t="s">
        <v>19</v>
      </c>
      <c r="M62" s="29" t="s">
        <v>19</v>
      </c>
      <c r="N62" s="29" t="s">
        <v>19</v>
      </c>
    </row>
    <row r="63" spans="1:14">
      <c r="A63" s="6" t="s">
        <v>81</v>
      </c>
      <c r="B63" s="9" t="s">
        <v>96</v>
      </c>
      <c r="C63" s="9" t="s">
        <v>133</v>
      </c>
      <c r="D63" s="9">
        <v>62</v>
      </c>
      <c r="E63" s="29">
        <v>43569119</v>
      </c>
      <c r="F63" s="31" t="s">
        <v>135</v>
      </c>
      <c r="G63" s="31" t="s">
        <v>17</v>
      </c>
      <c r="H63" s="29" t="s">
        <v>132</v>
      </c>
      <c r="I63" s="30">
        <v>2026</v>
      </c>
      <c r="J63" s="29">
        <v>3</v>
      </c>
      <c r="K63" s="29" t="str">
        <f t="shared" si="1"/>
        <v>Marzo</v>
      </c>
      <c r="L63" s="29" t="s">
        <v>19</v>
      </c>
      <c r="M63" s="29" t="s">
        <v>19</v>
      </c>
      <c r="N63" s="29" t="s">
        <v>19</v>
      </c>
    </row>
    <row r="64" spans="1:14">
      <c r="A64" s="6" t="s">
        <v>81</v>
      </c>
      <c r="B64" s="9" t="s">
        <v>96</v>
      </c>
      <c r="C64" s="9" t="s">
        <v>133</v>
      </c>
      <c r="D64" s="9">
        <v>63</v>
      </c>
      <c r="E64" s="29">
        <v>43569114</v>
      </c>
      <c r="F64" s="31" t="s">
        <v>136</v>
      </c>
      <c r="G64" s="31" t="s">
        <v>17</v>
      </c>
      <c r="H64" s="29" t="s">
        <v>132</v>
      </c>
      <c r="I64" s="30">
        <v>2026</v>
      </c>
      <c r="J64" s="29">
        <v>3</v>
      </c>
      <c r="K64" s="29" t="str">
        <f t="shared" si="1"/>
        <v>Marzo</v>
      </c>
      <c r="L64" s="29" t="s">
        <v>19</v>
      </c>
      <c r="M64" s="29" t="s">
        <v>19</v>
      </c>
      <c r="N64" s="29" t="s">
        <v>19</v>
      </c>
    </row>
    <row r="65" spans="1:14">
      <c r="A65" s="6" t="s">
        <v>81</v>
      </c>
      <c r="B65" s="9" t="s">
        <v>96</v>
      </c>
      <c r="C65" s="9" t="s">
        <v>133</v>
      </c>
      <c r="D65" s="9">
        <v>64</v>
      </c>
      <c r="E65" s="29">
        <v>43569115</v>
      </c>
      <c r="F65" s="31" t="s">
        <v>137</v>
      </c>
      <c r="G65" s="31" t="s">
        <v>17</v>
      </c>
      <c r="H65" s="29" t="s">
        <v>132</v>
      </c>
      <c r="I65" s="30">
        <v>2026</v>
      </c>
      <c r="J65" s="29">
        <v>3</v>
      </c>
      <c r="K65" s="29" t="str">
        <f t="shared" si="1"/>
        <v>Marzo</v>
      </c>
      <c r="L65" s="29" t="s">
        <v>19</v>
      </c>
      <c r="M65" s="29" t="s">
        <v>19</v>
      </c>
      <c r="N65" s="29" t="s">
        <v>19</v>
      </c>
    </row>
    <row r="66" spans="1:14">
      <c r="A66" s="6" t="s">
        <v>77</v>
      </c>
      <c r="B66" s="9" t="s">
        <v>78</v>
      </c>
      <c r="C66" s="9" t="s">
        <v>79</v>
      </c>
      <c r="D66" s="9">
        <v>65</v>
      </c>
      <c r="E66" s="29">
        <v>43558148</v>
      </c>
      <c r="F66" s="31" t="s">
        <v>138</v>
      </c>
      <c r="G66" s="31" t="s">
        <v>17</v>
      </c>
      <c r="H66" s="29" t="s">
        <v>132</v>
      </c>
      <c r="I66" s="30">
        <v>2026</v>
      </c>
      <c r="J66" s="29">
        <v>3</v>
      </c>
      <c r="K66" s="29" t="str">
        <f t="shared" ref="K66:K69" si="2">IF(J66=1,"Enero",IF(J66=2,"Febrero","Marzo"))</f>
        <v>Marzo</v>
      </c>
      <c r="L66" s="29" t="s">
        <v>19</v>
      </c>
      <c r="M66" s="29" t="s">
        <v>19</v>
      </c>
      <c r="N66" s="29" t="s">
        <v>19</v>
      </c>
    </row>
    <row r="67" spans="1:14">
      <c r="A67" s="6" t="s">
        <v>77</v>
      </c>
      <c r="B67" s="9" t="s">
        <v>78</v>
      </c>
      <c r="C67" s="9" t="s">
        <v>79</v>
      </c>
      <c r="D67" s="9">
        <v>66</v>
      </c>
      <c r="E67" s="29">
        <v>43558145</v>
      </c>
      <c r="F67" s="31" t="s">
        <v>139</v>
      </c>
      <c r="G67" s="31" t="s">
        <v>17</v>
      </c>
      <c r="H67" s="29" t="s">
        <v>132</v>
      </c>
      <c r="I67" s="33">
        <v>2026</v>
      </c>
      <c r="J67" s="29">
        <v>3</v>
      </c>
      <c r="K67" s="29" t="str">
        <f t="shared" si="2"/>
        <v>Marzo</v>
      </c>
      <c r="L67" s="29" t="s">
        <v>19</v>
      </c>
      <c r="M67" s="29" t="s">
        <v>19</v>
      </c>
      <c r="N67" s="29" t="s">
        <v>19</v>
      </c>
    </row>
    <row r="68" spans="1:14">
      <c r="A68" s="6" t="s">
        <v>77</v>
      </c>
      <c r="B68" s="9" t="s">
        <v>78</v>
      </c>
      <c r="C68" s="9" t="s">
        <v>79</v>
      </c>
      <c r="D68" s="9">
        <v>67</v>
      </c>
      <c r="E68" s="29">
        <v>43558147</v>
      </c>
      <c r="F68" s="31" t="s">
        <v>140</v>
      </c>
      <c r="G68" s="31" t="s">
        <v>17</v>
      </c>
      <c r="H68" s="29" t="s">
        <v>132</v>
      </c>
      <c r="I68" s="33">
        <v>2026</v>
      </c>
      <c r="J68" s="29">
        <v>3</v>
      </c>
      <c r="K68" s="29" t="str">
        <f t="shared" si="2"/>
        <v>Marzo</v>
      </c>
      <c r="L68" s="29" t="s">
        <v>19</v>
      </c>
      <c r="M68" s="29" t="s">
        <v>19</v>
      </c>
      <c r="N68" s="29" t="s">
        <v>19</v>
      </c>
    </row>
    <row r="69" spans="1:14">
      <c r="A69" s="6" t="s">
        <v>77</v>
      </c>
      <c r="B69" s="9" t="s">
        <v>78</v>
      </c>
      <c r="C69" s="9" t="s">
        <v>79</v>
      </c>
      <c r="D69" s="9">
        <v>68</v>
      </c>
      <c r="E69" s="29">
        <v>43558146</v>
      </c>
      <c r="F69" s="31" t="s">
        <v>141</v>
      </c>
      <c r="G69" s="31" t="s">
        <v>17</v>
      </c>
      <c r="H69" s="29" t="s">
        <v>132</v>
      </c>
      <c r="I69" s="33">
        <v>2026</v>
      </c>
      <c r="J69" s="29">
        <v>3</v>
      </c>
      <c r="K69" s="29" t="str">
        <f t="shared" si="2"/>
        <v>Marzo</v>
      </c>
      <c r="L69" s="29" t="s">
        <v>19</v>
      </c>
      <c r="M69" s="29" t="s">
        <v>19</v>
      </c>
      <c r="N69" s="29" t="s">
        <v>19</v>
      </c>
    </row>
  </sheetData>
  <autoFilter ref="A1:N69" xr:uid="{0B4C4CE5-8B73-4A30-9B62-73131413A908}">
    <sortState xmlns:xlrd2="http://schemas.microsoft.com/office/spreadsheetml/2017/richdata2" ref="A2:N69">
      <sortCondition ref="H1:H69"/>
    </sortState>
  </autoFilter>
  <conditionalFormatting sqref="D1:E1">
    <cfRule type="duplicateValues" dxfId="56" priority="1"/>
    <cfRule type="duplicateValues" dxfId="55" priority="2"/>
    <cfRule type="duplicateValues" dxfId="54" priority="3"/>
  </conditionalFormatting>
  <conditionalFormatting sqref="F18:F69 F2:F15">
    <cfRule type="duplicateValues" dxfId="53" priority="4"/>
    <cfRule type="duplicateValues" dxfId="52" priority="5"/>
    <cfRule type="duplicateValues" dxfId="51" priority="6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C4CE5-8B73-4A30-9B62-73131413A908}">
  <dimension ref="A1:L70"/>
  <sheetViews>
    <sheetView topLeftCell="B1" zoomScale="60" zoomScaleNormal="72" workbookViewId="0">
      <selection activeCell="E2" sqref="E2"/>
    </sheetView>
  </sheetViews>
  <sheetFormatPr defaultColWidth="11.5703125" defaultRowHeight="14.45"/>
  <cols>
    <col min="1" max="1" width="25.7109375" style="11" customWidth="1"/>
    <col min="2" max="2" width="59" style="11" customWidth="1"/>
    <col min="3" max="3" width="51.28515625" style="11" customWidth="1"/>
    <col min="4" max="4" width="11.5703125" style="11" customWidth="1"/>
    <col min="5" max="5" width="72" style="11" bestFit="1" customWidth="1"/>
    <col min="6" max="6" width="17.28515625" style="11" customWidth="1"/>
    <col min="7" max="7" width="29.85546875" style="11" bestFit="1" customWidth="1"/>
    <col min="8" max="9" width="19.28515625" style="11" bestFit="1" customWidth="1"/>
    <col min="10" max="10" width="14.42578125" style="11" customWidth="1"/>
    <col min="11" max="11" width="14.28515625" style="11" customWidth="1"/>
    <col min="12" max="12" width="19.7109375" style="11" customWidth="1"/>
    <col min="13" max="16384" width="11.5703125" style="11"/>
  </cols>
  <sheetData>
    <row r="1" spans="1:12">
      <c r="J1" s="13" t="s">
        <v>142</v>
      </c>
      <c r="K1" s="13" t="s">
        <v>142</v>
      </c>
      <c r="L1" s="13" t="s">
        <v>142</v>
      </c>
    </row>
    <row r="2" spans="1:12" ht="21.6">
      <c r="A2" s="8" t="s">
        <v>0</v>
      </c>
      <c r="B2" s="8" t="s">
        <v>1</v>
      </c>
      <c r="C2" s="8" t="s">
        <v>2</v>
      </c>
      <c r="D2" s="8" t="s">
        <v>143</v>
      </c>
      <c r="E2" s="8" t="s">
        <v>5</v>
      </c>
      <c r="F2" s="8" t="s">
        <v>6</v>
      </c>
      <c r="G2" s="8" t="s">
        <v>144</v>
      </c>
      <c r="H2" s="8" t="s">
        <v>8</v>
      </c>
      <c r="I2" s="8" t="s">
        <v>9</v>
      </c>
      <c r="J2" s="8" t="s">
        <v>145</v>
      </c>
      <c r="K2" s="8" t="s">
        <v>146</v>
      </c>
      <c r="L2" s="8" t="s">
        <v>12</v>
      </c>
    </row>
    <row r="3" spans="1:12">
      <c r="A3" s="6" t="s">
        <v>13</v>
      </c>
      <c r="B3" s="9" t="s">
        <v>14</v>
      </c>
      <c r="C3" s="9" t="s">
        <v>15</v>
      </c>
      <c r="D3" s="9">
        <v>43563802</v>
      </c>
      <c r="E3" s="9" t="s">
        <v>16</v>
      </c>
      <c r="F3" s="9" t="s">
        <v>17</v>
      </c>
      <c r="G3" s="9" t="s">
        <v>18</v>
      </c>
      <c r="H3" s="10">
        <v>2026</v>
      </c>
      <c r="I3" s="9">
        <v>2</v>
      </c>
      <c r="J3" s="12" t="s">
        <v>19</v>
      </c>
      <c r="K3" s="12" t="s">
        <v>20</v>
      </c>
      <c r="L3" s="12" t="s">
        <v>19</v>
      </c>
    </row>
    <row r="4" spans="1:12">
      <c r="A4" s="6" t="s">
        <v>13</v>
      </c>
      <c r="B4" s="9" t="s">
        <v>14</v>
      </c>
      <c r="C4" s="9" t="s">
        <v>15</v>
      </c>
      <c r="D4" s="9">
        <v>43563801</v>
      </c>
      <c r="E4" s="9" t="s">
        <v>21</v>
      </c>
      <c r="F4" s="9" t="s">
        <v>17</v>
      </c>
      <c r="G4" s="9" t="s">
        <v>18</v>
      </c>
      <c r="H4" s="10">
        <v>2026</v>
      </c>
      <c r="I4" s="9">
        <v>2</v>
      </c>
      <c r="J4" s="12" t="s">
        <v>19</v>
      </c>
      <c r="K4" s="12" t="s">
        <v>20</v>
      </c>
      <c r="L4" s="12" t="s">
        <v>19</v>
      </c>
    </row>
    <row r="5" spans="1:12">
      <c r="A5" s="6" t="s">
        <v>30</v>
      </c>
      <c r="B5" s="9" t="s">
        <v>62</v>
      </c>
      <c r="C5" s="9" t="s">
        <v>92</v>
      </c>
      <c r="D5" s="9">
        <v>42500654</v>
      </c>
      <c r="E5" s="9" t="s">
        <v>93</v>
      </c>
      <c r="F5" s="9" t="s">
        <v>17</v>
      </c>
      <c r="G5" s="9" t="s">
        <v>94</v>
      </c>
      <c r="H5" s="10">
        <v>2026</v>
      </c>
      <c r="I5" s="9">
        <v>2</v>
      </c>
      <c r="J5" s="12" t="s">
        <v>19</v>
      </c>
      <c r="K5" s="12" t="s">
        <v>19</v>
      </c>
      <c r="L5" s="12" t="s">
        <v>19</v>
      </c>
    </row>
    <row r="6" spans="1:12">
      <c r="A6" s="6" t="s">
        <v>13</v>
      </c>
      <c r="B6" s="9" t="s">
        <v>14</v>
      </c>
      <c r="C6" s="9" t="s">
        <v>15</v>
      </c>
      <c r="D6" s="9">
        <v>43590263</v>
      </c>
      <c r="E6" s="9" t="s">
        <v>28</v>
      </c>
      <c r="F6" s="9" t="s">
        <v>17</v>
      </c>
      <c r="G6" s="9" t="s">
        <v>18</v>
      </c>
      <c r="H6" s="10">
        <v>2026</v>
      </c>
      <c r="I6" s="9">
        <v>2</v>
      </c>
      <c r="J6" s="12" t="s">
        <v>19</v>
      </c>
      <c r="K6" s="12" t="s">
        <v>20</v>
      </c>
      <c r="L6" s="12" t="s">
        <v>19</v>
      </c>
    </row>
    <row r="7" spans="1:12">
      <c r="A7" s="6" t="s">
        <v>30</v>
      </c>
      <c r="B7" s="9" t="s">
        <v>31</v>
      </c>
      <c r="C7" s="9" t="s">
        <v>32</v>
      </c>
      <c r="D7" s="9">
        <v>43556431</v>
      </c>
      <c r="E7" s="9" t="s">
        <v>131</v>
      </c>
      <c r="F7" s="9" t="s">
        <v>17</v>
      </c>
      <c r="G7" s="9" t="s">
        <v>132</v>
      </c>
      <c r="H7" s="10">
        <v>2026</v>
      </c>
      <c r="I7" s="9">
        <v>1</v>
      </c>
      <c r="J7" s="12" t="s">
        <v>50</v>
      </c>
      <c r="K7" s="12" t="s">
        <v>19</v>
      </c>
      <c r="L7" s="12" t="s">
        <v>19</v>
      </c>
    </row>
    <row r="8" spans="1:12">
      <c r="A8" s="6" t="s">
        <v>30</v>
      </c>
      <c r="B8" s="9" t="s">
        <v>31</v>
      </c>
      <c r="C8" s="9" t="s">
        <v>32</v>
      </c>
      <c r="D8" s="9">
        <v>43556432</v>
      </c>
      <c r="E8" s="9" t="s">
        <v>33</v>
      </c>
      <c r="F8" s="9" t="s">
        <v>17</v>
      </c>
      <c r="G8" s="9" t="s">
        <v>18</v>
      </c>
      <c r="H8" s="10">
        <v>2026</v>
      </c>
      <c r="I8" s="9">
        <v>1</v>
      </c>
      <c r="J8" s="12" t="s">
        <v>19</v>
      </c>
      <c r="K8" s="12" t="s">
        <v>20</v>
      </c>
      <c r="L8" s="12" t="s">
        <v>19</v>
      </c>
    </row>
    <row r="9" spans="1:12">
      <c r="A9" s="6" t="s">
        <v>95</v>
      </c>
      <c r="B9" s="9" t="s">
        <v>96</v>
      </c>
      <c r="C9" s="9" t="s">
        <v>97</v>
      </c>
      <c r="D9" s="9">
        <v>43557144</v>
      </c>
      <c r="E9" s="9" t="s">
        <v>98</v>
      </c>
      <c r="F9" s="9" t="s">
        <v>17</v>
      </c>
      <c r="G9" s="9" t="s">
        <v>94</v>
      </c>
      <c r="H9" s="10">
        <v>2026</v>
      </c>
      <c r="I9" s="9">
        <v>2</v>
      </c>
      <c r="J9" s="12" t="s">
        <v>19</v>
      </c>
      <c r="K9" s="12" t="s">
        <v>19</v>
      </c>
      <c r="L9" s="12" t="s">
        <v>19</v>
      </c>
    </row>
    <row r="10" spans="1:12">
      <c r="A10" s="6" t="s">
        <v>95</v>
      </c>
      <c r="B10" s="9" t="s">
        <v>96</v>
      </c>
      <c r="C10" s="9" t="s">
        <v>97</v>
      </c>
      <c r="D10" s="9">
        <v>43557143</v>
      </c>
      <c r="E10" s="9" t="s">
        <v>99</v>
      </c>
      <c r="F10" s="9" t="s">
        <v>17</v>
      </c>
      <c r="G10" s="9" t="s">
        <v>94</v>
      </c>
      <c r="H10" s="10">
        <v>2026</v>
      </c>
      <c r="I10" s="9">
        <v>2</v>
      </c>
      <c r="J10" s="12" t="s">
        <v>19</v>
      </c>
      <c r="K10" s="12" t="s">
        <v>19</v>
      </c>
      <c r="L10" s="12" t="s">
        <v>19</v>
      </c>
    </row>
    <row r="11" spans="1:12">
      <c r="A11" s="6" t="s">
        <v>95</v>
      </c>
      <c r="B11" s="9" t="s">
        <v>96</v>
      </c>
      <c r="C11" s="9" t="s">
        <v>97</v>
      </c>
      <c r="D11" s="9">
        <v>43557145</v>
      </c>
      <c r="E11" s="9" t="s">
        <v>100</v>
      </c>
      <c r="F11" s="9" t="s">
        <v>17</v>
      </c>
      <c r="G11" s="9" t="s">
        <v>94</v>
      </c>
      <c r="H11" s="10">
        <v>2026</v>
      </c>
      <c r="I11" s="9">
        <v>2</v>
      </c>
      <c r="J11" s="12" t="s">
        <v>19</v>
      </c>
      <c r="K11" s="12" t="s">
        <v>19</v>
      </c>
      <c r="L11" s="12" t="s">
        <v>19</v>
      </c>
    </row>
    <row r="12" spans="1:12">
      <c r="A12" s="6" t="s">
        <v>30</v>
      </c>
      <c r="B12" s="9" t="s">
        <v>62</v>
      </c>
      <c r="C12" s="9" t="s">
        <v>68</v>
      </c>
      <c r="D12" s="9">
        <v>43556433</v>
      </c>
      <c r="E12" s="9" t="s">
        <v>101</v>
      </c>
      <c r="F12" s="9" t="s">
        <v>17</v>
      </c>
      <c r="G12" s="9" t="s">
        <v>94</v>
      </c>
      <c r="H12" s="10">
        <v>2026</v>
      </c>
      <c r="I12" s="9">
        <v>1</v>
      </c>
      <c r="J12" s="12" t="s">
        <v>19</v>
      </c>
      <c r="K12" s="12" t="s">
        <v>19</v>
      </c>
      <c r="L12" s="12" t="s">
        <v>19</v>
      </c>
    </row>
    <row r="13" spans="1:12">
      <c r="A13" s="6" t="s">
        <v>30</v>
      </c>
      <c r="B13" s="9" t="s">
        <v>62</v>
      </c>
      <c r="C13" s="9" t="s">
        <v>68</v>
      </c>
      <c r="D13" s="9">
        <v>43556434</v>
      </c>
      <c r="E13" s="9" t="s">
        <v>102</v>
      </c>
      <c r="F13" s="9" t="s">
        <v>17</v>
      </c>
      <c r="G13" s="9" t="s">
        <v>94</v>
      </c>
      <c r="H13" s="10">
        <v>2026</v>
      </c>
      <c r="I13" s="9">
        <v>1</v>
      </c>
      <c r="J13" s="12" t="s">
        <v>19</v>
      </c>
      <c r="K13" s="12" t="s">
        <v>19</v>
      </c>
      <c r="L13" s="12" t="s">
        <v>19</v>
      </c>
    </row>
    <row r="14" spans="1:12">
      <c r="A14" s="6" t="s">
        <v>30</v>
      </c>
      <c r="B14" s="9" t="s">
        <v>62</v>
      </c>
      <c r="C14" s="9" t="s">
        <v>68</v>
      </c>
      <c r="D14" s="9">
        <v>43556435</v>
      </c>
      <c r="E14" s="9" t="s">
        <v>103</v>
      </c>
      <c r="F14" s="9" t="s">
        <v>17</v>
      </c>
      <c r="G14" s="9" t="s">
        <v>94</v>
      </c>
      <c r="H14" s="10">
        <v>2026</v>
      </c>
      <c r="I14" s="9">
        <v>1</v>
      </c>
      <c r="J14" s="12" t="s">
        <v>19</v>
      </c>
      <c r="K14" s="12" t="s">
        <v>19</v>
      </c>
      <c r="L14" s="12" t="s">
        <v>19</v>
      </c>
    </row>
    <row r="15" spans="1:12">
      <c r="A15" s="6" t="s">
        <v>30</v>
      </c>
      <c r="B15" s="9" t="s">
        <v>35</v>
      </c>
      <c r="C15" s="9" t="s">
        <v>36</v>
      </c>
      <c r="D15" s="9">
        <v>43572875</v>
      </c>
      <c r="E15" s="9" t="s">
        <v>37</v>
      </c>
      <c r="F15" s="9" t="s">
        <v>17</v>
      </c>
      <c r="G15" s="9" t="s">
        <v>18</v>
      </c>
      <c r="H15" s="10">
        <v>2026</v>
      </c>
      <c r="I15" s="9">
        <v>1</v>
      </c>
      <c r="J15" s="12" t="s">
        <v>19</v>
      </c>
      <c r="K15" s="12" t="s">
        <v>20</v>
      </c>
      <c r="L15" s="12" t="s">
        <v>19</v>
      </c>
    </row>
    <row r="16" spans="1:12">
      <c r="A16" s="6" t="s">
        <v>30</v>
      </c>
      <c r="B16" s="9" t="s">
        <v>35</v>
      </c>
      <c r="C16" s="9" t="s">
        <v>36</v>
      </c>
      <c r="D16" s="9">
        <v>43572876</v>
      </c>
      <c r="E16" s="9" t="s">
        <v>38</v>
      </c>
      <c r="F16" s="9" t="s">
        <v>17</v>
      </c>
      <c r="G16" s="9" t="s">
        <v>18</v>
      </c>
      <c r="H16" s="10">
        <v>2026</v>
      </c>
      <c r="I16" s="9">
        <v>1</v>
      </c>
      <c r="J16" s="12" t="s">
        <v>19</v>
      </c>
      <c r="K16" s="12" t="s">
        <v>20</v>
      </c>
      <c r="L16" s="12" t="s">
        <v>19</v>
      </c>
    </row>
    <row r="17" spans="1:12">
      <c r="A17" s="6" t="s">
        <v>30</v>
      </c>
      <c r="B17" s="9" t="s">
        <v>35</v>
      </c>
      <c r="C17" s="9" t="s">
        <v>39</v>
      </c>
      <c r="D17" s="9">
        <v>43572877</v>
      </c>
      <c r="E17" s="14" t="s">
        <v>40</v>
      </c>
      <c r="F17" s="9" t="s">
        <v>17</v>
      </c>
      <c r="G17" s="9" t="s">
        <v>18</v>
      </c>
      <c r="H17" s="10">
        <v>2026</v>
      </c>
      <c r="I17" s="9">
        <v>1</v>
      </c>
      <c r="J17" s="12" t="s">
        <v>19</v>
      </c>
      <c r="K17" s="12" t="s">
        <v>20</v>
      </c>
      <c r="L17" s="12" t="s">
        <v>19</v>
      </c>
    </row>
    <row r="18" spans="1:12">
      <c r="A18" s="6" t="s">
        <v>30</v>
      </c>
      <c r="B18" s="9" t="s">
        <v>35</v>
      </c>
      <c r="C18" s="9" t="s">
        <v>39</v>
      </c>
      <c r="D18" s="9">
        <v>43572878</v>
      </c>
      <c r="E18" s="14" t="s">
        <v>40</v>
      </c>
      <c r="F18" s="9" t="s">
        <v>17</v>
      </c>
      <c r="G18" s="9" t="s">
        <v>18</v>
      </c>
      <c r="H18" s="10">
        <v>2026</v>
      </c>
      <c r="I18" s="9">
        <v>1</v>
      </c>
      <c r="J18" s="12" t="s">
        <v>19</v>
      </c>
      <c r="K18" s="12" t="s">
        <v>20</v>
      </c>
      <c r="L18" s="12" t="s">
        <v>19</v>
      </c>
    </row>
    <row r="19" spans="1:12">
      <c r="A19" s="6" t="s">
        <v>30</v>
      </c>
      <c r="B19" s="9" t="s">
        <v>35</v>
      </c>
      <c r="C19" s="9" t="s">
        <v>39</v>
      </c>
      <c r="D19" s="9">
        <v>43572880</v>
      </c>
      <c r="E19" s="9" t="s">
        <v>41</v>
      </c>
      <c r="F19" s="9" t="s">
        <v>17</v>
      </c>
      <c r="G19" s="9" t="s">
        <v>18</v>
      </c>
      <c r="H19" s="10">
        <v>2026</v>
      </c>
      <c r="I19" s="9">
        <v>1</v>
      </c>
      <c r="J19" s="12" t="s">
        <v>19</v>
      </c>
      <c r="K19" s="12" t="s">
        <v>20</v>
      </c>
      <c r="L19" s="12" t="s">
        <v>19</v>
      </c>
    </row>
    <row r="20" spans="1:12">
      <c r="A20" s="6" t="s">
        <v>30</v>
      </c>
      <c r="B20" s="9" t="s">
        <v>35</v>
      </c>
      <c r="C20" s="9" t="s">
        <v>42</v>
      </c>
      <c r="D20" s="9">
        <v>43572881</v>
      </c>
      <c r="E20" s="9" t="s">
        <v>43</v>
      </c>
      <c r="F20" s="9" t="s">
        <v>17</v>
      </c>
      <c r="G20" s="9" t="s">
        <v>18</v>
      </c>
      <c r="H20" s="10">
        <v>2026</v>
      </c>
      <c r="I20" s="9">
        <v>1</v>
      </c>
      <c r="J20" s="12" t="s">
        <v>19</v>
      </c>
      <c r="K20" s="12" t="s">
        <v>20</v>
      </c>
      <c r="L20" s="12" t="s">
        <v>19</v>
      </c>
    </row>
    <row r="21" spans="1:12">
      <c r="A21" s="6" t="s">
        <v>30</v>
      </c>
      <c r="B21" s="9" t="s">
        <v>35</v>
      </c>
      <c r="C21" s="9" t="s">
        <v>39</v>
      </c>
      <c r="D21" s="9">
        <v>43572882</v>
      </c>
      <c r="E21" s="9" t="s">
        <v>44</v>
      </c>
      <c r="F21" s="9" t="s">
        <v>17</v>
      </c>
      <c r="G21" s="9" t="s">
        <v>18</v>
      </c>
      <c r="H21" s="10">
        <v>2026</v>
      </c>
      <c r="I21" s="9">
        <v>1</v>
      </c>
      <c r="J21" s="12" t="s">
        <v>19</v>
      </c>
      <c r="K21" s="12" t="s">
        <v>20</v>
      </c>
      <c r="L21" s="12" t="s">
        <v>19</v>
      </c>
    </row>
    <row r="22" spans="1:12">
      <c r="A22" s="6" t="s">
        <v>30</v>
      </c>
      <c r="B22" s="9" t="s">
        <v>35</v>
      </c>
      <c r="C22" s="9" t="s">
        <v>39</v>
      </c>
      <c r="D22" s="9">
        <v>43572879</v>
      </c>
      <c r="E22" s="9" t="s">
        <v>45</v>
      </c>
      <c r="F22" s="9" t="s">
        <v>17</v>
      </c>
      <c r="G22" s="9" t="s">
        <v>18</v>
      </c>
      <c r="H22" s="10">
        <v>2026</v>
      </c>
      <c r="I22" s="9">
        <v>1</v>
      </c>
      <c r="J22" s="12" t="s">
        <v>19</v>
      </c>
      <c r="K22" s="12" t="s">
        <v>20</v>
      </c>
      <c r="L22" s="12" t="s">
        <v>19</v>
      </c>
    </row>
    <row r="23" spans="1:12">
      <c r="A23" s="6" t="s">
        <v>46</v>
      </c>
      <c r="B23" s="9" t="s">
        <v>47</v>
      </c>
      <c r="C23" s="9" t="s">
        <v>48</v>
      </c>
      <c r="D23" s="9">
        <v>43590246</v>
      </c>
      <c r="E23" s="9" t="s">
        <v>104</v>
      </c>
      <c r="F23" s="9" t="s">
        <v>17</v>
      </c>
      <c r="G23" s="9" t="s">
        <v>94</v>
      </c>
      <c r="H23" s="10">
        <v>2026</v>
      </c>
      <c r="I23" s="9">
        <v>1</v>
      </c>
      <c r="J23" s="12" t="s">
        <v>19</v>
      </c>
      <c r="K23" s="12" t="s">
        <v>50</v>
      </c>
      <c r="L23" s="12" t="s">
        <v>50</v>
      </c>
    </row>
    <row r="24" spans="1:12">
      <c r="A24" s="6" t="s">
        <v>46</v>
      </c>
      <c r="B24" s="9" t="s">
        <v>47</v>
      </c>
      <c r="C24" s="9" t="s">
        <v>48</v>
      </c>
      <c r="D24" s="9">
        <v>43590247</v>
      </c>
      <c r="E24" s="9" t="s">
        <v>105</v>
      </c>
      <c r="F24" s="9" t="s">
        <v>17</v>
      </c>
      <c r="G24" s="9" t="s">
        <v>94</v>
      </c>
      <c r="H24" s="10">
        <v>2026</v>
      </c>
      <c r="I24" s="9">
        <v>1</v>
      </c>
      <c r="J24" s="12" t="s">
        <v>19</v>
      </c>
      <c r="K24" s="12" t="s">
        <v>50</v>
      </c>
      <c r="L24" s="12" t="s">
        <v>50</v>
      </c>
    </row>
    <row r="25" spans="1:12">
      <c r="A25" s="6" t="s">
        <v>46</v>
      </c>
      <c r="B25" s="9" t="s">
        <v>47</v>
      </c>
      <c r="C25" s="9" t="s">
        <v>48</v>
      </c>
      <c r="D25" s="9">
        <v>43590248</v>
      </c>
      <c r="E25" s="9" t="s">
        <v>106</v>
      </c>
      <c r="F25" s="9" t="s">
        <v>17</v>
      </c>
      <c r="G25" s="9" t="s">
        <v>94</v>
      </c>
      <c r="H25" s="10">
        <v>2026</v>
      </c>
      <c r="I25" s="9">
        <v>1</v>
      </c>
      <c r="J25" s="12" t="s">
        <v>19</v>
      </c>
      <c r="K25" s="12" t="s">
        <v>19</v>
      </c>
      <c r="L25" s="12" t="s">
        <v>50</v>
      </c>
    </row>
    <row r="26" spans="1:12">
      <c r="A26" s="6" t="s">
        <v>46</v>
      </c>
      <c r="B26" s="9" t="s">
        <v>47</v>
      </c>
      <c r="C26" s="9" t="s">
        <v>48</v>
      </c>
      <c r="D26" s="9">
        <v>43590249</v>
      </c>
      <c r="E26" s="9" t="s">
        <v>49</v>
      </c>
      <c r="F26" s="9" t="s">
        <v>17</v>
      </c>
      <c r="G26" s="9" t="s">
        <v>18</v>
      </c>
      <c r="H26" s="10">
        <v>2026</v>
      </c>
      <c r="I26" s="9">
        <v>1</v>
      </c>
      <c r="J26" s="12" t="s">
        <v>19</v>
      </c>
      <c r="K26" s="12" t="s">
        <v>20</v>
      </c>
      <c r="L26" s="12" t="s">
        <v>50</v>
      </c>
    </row>
    <row r="27" spans="1:12">
      <c r="A27" s="6" t="s">
        <v>46</v>
      </c>
      <c r="B27" s="9" t="s">
        <v>47</v>
      </c>
      <c r="C27" s="9" t="s">
        <v>48</v>
      </c>
      <c r="D27" s="9">
        <v>43590237</v>
      </c>
      <c r="E27" s="9" t="s">
        <v>51</v>
      </c>
      <c r="F27" s="9" t="s">
        <v>52</v>
      </c>
      <c r="G27" s="9" t="s">
        <v>18</v>
      </c>
      <c r="H27" s="10">
        <v>2026</v>
      </c>
      <c r="I27" s="9">
        <v>1</v>
      </c>
      <c r="J27" s="12" t="s">
        <v>19</v>
      </c>
      <c r="K27" s="12" t="s">
        <v>20</v>
      </c>
      <c r="L27" s="12" t="s">
        <v>20</v>
      </c>
    </row>
    <row r="28" spans="1:12">
      <c r="A28" s="6" t="s">
        <v>46</v>
      </c>
      <c r="B28" s="9" t="s">
        <v>47</v>
      </c>
      <c r="C28" s="9" t="s">
        <v>48</v>
      </c>
      <c r="D28" s="9">
        <v>43590238</v>
      </c>
      <c r="E28" s="9" t="s">
        <v>53</v>
      </c>
      <c r="F28" s="9" t="s">
        <v>52</v>
      </c>
      <c r="G28" s="9" t="s">
        <v>18</v>
      </c>
      <c r="H28" s="10">
        <v>2026</v>
      </c>
      <c r="I28" s="9">
        <v>1</v>
      </c>
      <c r="J28" s="12" t="s">
        <v>19</v>
      </c>
      <c r="K28" s="12" t="s">
        <v>20</v>
      </c>
      <c r="L28" s="12" t="s">
        <v>20</v>
      </c>
    </row>
    <row r="29" spans="1:12">
      <c r="A29" s="6" t="s">
        <v>13</v>
      </c>
      <c r="B29" s="9" t="s">
        <v>14</v>
      </c>
      <c r="C29" s="9" t="s">
        <v>15</v>
      </c>
      <c r="D29" s="9">
        <v>43563799</v>
      </c>
      <c r="E29" s="9" t="s">
        <v>54</v>
      </c>
      <c r="F29" s="9" t="s">
        <v>17</v>
      </c>
      <c r="G29" s="9" t="s">
        <v>18</v>
      </c>
      <c r="H29" s="10">
        <v>2026</v>
      </c>
      <c r="I29" s="9">
        <v>2</v>
      </c>
      <c r="J29" s="12" t="s">
        <v>19</v>
      </c>
      <c r="K29" s="12" t="s">
        <v>20</v>
      </c>
      <c r="L29" s="12" t="s">
        <v>19</v>
      </c>
    </row>
    <row r="30" spans="1:12">
      <c r="A30" s="6" t="s">
        <v>13</v>
      </c>
      <c r="B30" s="9" t="s">
        <v>14</v>
      </c>
      <c r="C30" s="9" t="s">
        <v>15</v>
      </c>
      <c r="D30" s="9">
        <v>43563798</v>
      </c>
      <c r="E30" s="9" t="s">
        <v>55</v>
      </c>
      <c r="F30" s="9" t="s">
        <v>17</v>
      </c>
      <c r="G30" s="9" t="s">
        <v>18</v>
      </c>
      <c r="H30" s="10">
        <v>2026</v>
      </c>
      <c r="I30" s="9">
        <v>2</v>
      </c>
      <c r="J30" s="12" t="s">
        <v>19</v>
      </c>
      <c r="K30" s="12" t="s">
        <v>20</v>
      </c>
      <c r="L30" s="12" t="s">
        <v>19</v>
      </c>
    </row>
    <row r="31" spans="1:12">
      <c r="A31" s="6" t="s">
        <v>107</v>
      </c>
      <c r="B31" s="9" t="s">
        <v>108</v>
      </c>
      <c r="C31" s="9" t="s">
        <v>109</v>
      </c>
      <c r="D31" s="9">
        <v>43545624</v>
      </c>
      <c r="E31" s="9" t="s">
        <v>110</v>
      </c>
      <c r="F31" s="9" t="s">
        <v>17</v>
      </c>
      <c r="G31" s="9" t="s">
        <v>94</v>
      </c>
      <c r="H31" s="10">
        <v>2026</v>
      </c>
      <c r="I31" s="9">
        <v>2</v>
      </c>
      <c r="J31" s="12" t="s">
        <v>19</v>
      </c>
      <c r="K31" s="12" t="s">
        <v>19</v>
      </c>
      <c r="L31" s="12" t="s">
        <v>19</v>
      </c>
    </row>
    <row r="32" spans="1:12">
      <c r="A32" s="6" t="s">
        <v>107</v>
      </c>
      <c r="B32" s="9" t="s">
        <v>108</v>
      </c>
      <c r="C32" s="9" t="s">
        <v>109</v>
      </c>
      <c r="D32" s="9">
        <v>43545621</v>
      </c>
      <c r="E32" s="9" t="s">
        <v>111</v>
      </c>
      <c r="F32" s="9" t="s">
        <v>17</v>
      </c>
      <c r="G32" s="9" t="s">
        <v>94</v>
      </c>
      <c r="H32" s="10">
        <v>2026</v>
      </c>
      <c r="I32" s="9">
        <v>2</v>
      </c>
      <c r="J32" s="12" t="s">
        <v>19</v>
      </c>
      <c r="K32" s="12" t="s">
        <v>19</v>
      </c>
      <c r="L32" s="12" t="s">
        <v>19</v>
      </c>
    </row>
    <row r="33" spans="1:12">
      <c r="A33" s="6" t="s">
        <v>107</v>
      </c>
      <c r="B33" s="9" t="s">
        <v>108</v>
      </c>
      <c r="C33" s="9" t="s">
        <v>109</v>
      </c>
      <c r="D33" s="9">
        <v>43545620</v>
      </c>
      <c r="E33" s="9" t="s">
        <v>112</v>
      </c>
      <c r="F33" s="9" t="s">
        <v>17</v>
      </c>
      <c r="G33" s="9" t="s">
        <v>94</v>
      </c>
      <c r="H33" s="10">
        <v>2026</v>
      </c>
      <c r="I33" s="9">
        <v>2</v>
      </c>
      <c r="J33" s="12" t="s">
        <v>19</v>
      </c>
      <c r="K33" s="12" t="s">
        <v>19</v>
      </c>
      <c r="L33" s="12" t="s">
        <v>19</v>
      </c>
    </row>
    <row r="34" spans="1:12">
      <c r="A34" s="6" t="s">
        <v>107</v>
      </c>
      <c r="B34" s="9" t="s">
        <v>108</v>
      </c>
      <c r="C34" s="9" t="s">
        <v>109</v>
      </c>
      <c r="D34" s="9">
        <v>43545622</v>
      </c>
      <c r="E34" s="9" t="s">
        <v>113</v>
      </c>
      <c r="F34" s="9" t="s">
        <v>17</v>
      </c>
      <c r="G34" s="9" t="s">
        <v>94</v>
      </c>
      <c r="H34" s="10">
        <v>2026</v>
      </c>
      <c r="I34" s="9">
        <v>2</v>
      </c>
      <c r="J34" s="12" t="s">
        <v>19</v>
      </c>
      <c r="K34" s="12" t="s">
        <v>19</v>
      </c>
      <c r="L34" s="12" t="s">
        <v>19</v>
      </c>
    </row>
    <row r="35" spans="1:12">
      <c r="A35" s="6" t="s">
        <v>107</v>
      </c>
      <c r="B35" s="9" t="s">
        <v>108</v>
      </c>
      <c r="C35" s="9" t="s">
        <v>109</v>
      </c>
      <c r="D35" s="9">
        <v>43545623</v>
      </c>
      <c r="E35" s="9" t="s">
        <v>114</v>
      </c>
      <c r="F35" s="9" t="s">
        <v>17</v>
      </c>
      <c r="G35" s="9" t="s">
        <v>94</v>
      </c>
      <c r="H35" s="10">
        <v>2026</v>
      </c>
      <c r="I35" s="9">
        <v>2</v>
      </c>
      <c r="J35" s="12" t="s">
        <v>19</v>
      </c>
      <c r="K35" s="12" t="s">
        <v>19</v>
      </c>
      <c r="L35" s="12" t="s">
        <v>19</v>
      </c>
    </row>
    <row r="36" spans="1:12">
      <c r="A36" s="6" t="s">
        <v>107</v>
      </c>
      <c r="B36" s="9" t="s">
        <v>108</v>
      </c>
      <c r="C36" s="9" t="s">
        <v>109</v>
      </c>
      <c r="D36" s="9">
        <v>43545632</v>
      </c>
      <c r="E36" s="9" t="s">
        <v>115</v>
      </c>
      <c r="F36" s="9" t="s">
        <v>52</v>
      </c>
      <c r="G36" s="9" t="s">
        <v>94</v>
      </c>
      <c r="H36" s="10">
        <v>2026</v>
      </c>
      <c r="I36" s="9">
        <v>2</v>
      </c>
      <c r="J36" s="12" t="s">
        <v>19</v>
      </c>
      <c r="K36" s="12" t="s">
        <v>19</v>
      </c>
      <c r="L36" s="12" t="s">
        <v>20</v>
      </c>
    </row>
    <row r="37" spans="1:12">
      <c r="A37" s="6" t="s">
        <v>107</v>
      </c>
      <c r="B37" s="9" t="s">
        <v>108</v>
      </c>
      <c r="C37" s="9" t="s">
        <v>109</v>
      </c>
      <c r="D37" s="9">
        <v>43545633</v>
      </c>
      <c r="E37" s="9" t="s">
        <v>116</v>
      </c>
      <c r="F37" s="9" t="s">
        <v>52</v>
      </c>
      <c r="G37" s="9" t="s">
        <v>94</v>
      </c>
      <c r="H37" s="10">
        <v>2026</v>
      </c>
      <c r="I37" s="9">
        <v>2</v>
      </c>
      <c r="J37" s="12" t="s">
        <v>19</v>
      </c>
      <c r="K37" s="12" t="s">
        <v>19</v>
      </c>
      <c r="L37" s="12" t="s">
        <v>20</v>
      </c>
    </row>
    <row r="38" spans="1:12">
      <c r="A38" s="6" t="s">
        <v>107</v>
      </c>
      <c r="B38" s="9" t="s">
        <v>108</v>
      </c>
      <c r="C38" s="9" t="s">
        <v>109</v>
      </c>
      <c r="D38" s="9">
        <v>43545631</v>
      </c>
      <c r="E38" s="9" t="s">
        <v>117</v>
      </c>
      <c r="F38" s="9" t="s">
        <v>52</v>
      </c>
      <c r="G38" s="9" t="s">
        <v>94</v>
      </c>
      <c r="H38" s="10">
        <v>2026</v>
      </c>
      <c r="I38" s="9">
        <v>2</v>
      </c>
      <c r="J38" s="12" t="s">
        <v>19</v>
      </c>
      <c r="K38" s="12" t="s">
        <v>19</v>
      </c>
      <c r="L38" s="12" t="s">
        <v>20</v>
      </c>
    </row>
    <row r="39" spans="1:12">
      <c r="A39" s="6" t="s">
        <v>118</v>
      </c>
      <c r="B39" s="9" t="s">
        <v>119</v>
      </c>
      <c r="C39" s="9" t="s">
        <v>120</v>
      </c>
      <c r="D39" s="9">
        <v>43566423</v>
      </c>
      <c r="E39" s="9" t="s">
        <v>121</v>
      </c>
      <c r="F39" s="9" t="s">
        <v>17</v>
      </c>
      <c r="G39" s="9" t="s">
        <v>94</v>
      </c>
      <c r="H39" s="10">
        <v>2026</v>
      </c>
      <c r="I39" s="9">
        <v>3</v>
      </c>
      <c r="J39" s="12" t="s">
        <v>19</v>
      </c>
      <c r="K39" s="12" t="s">
        <v>19</v>
      </c>
      <c r="L39" s="12" t="s">
        <v>19</v>
      </c>
    </row>
    <row r="40" spans="1:12">
      <c r="A40" s="6" t="s">
        <v>118</v>
      </c>
      <c r="B40" s="9" t="s">
        <v>119</v>
      </c>
      <c r="C40" s="9" t="s">
        <v>120</v>
      </c>
      <c r="D40" s="9">
        <v>43566420</v>
      </c>
      <c r="E40" s="9" t="s">
        <v>122</v>
      </c>
      <c r="F40" s="9" t="s">
        <v>17</v>
      </c>
      <c r="G40" s="9" t="s">
        <v>94</v>
      </c>
      <c r="H40" s="10">
        <v>2026</v>
      </c>
      <c r="I40" s="9">
        <v>3</v>
      </c>
      <c r="J40" s="12" t="s">
        <v>19</v>
      </c>
      <c r="K40" s="12" t="s">
        <v>19</v>
      </c>
      <c r="L40" s="12" t="s">
        <v>19</v>
      </c>
    </row>
    <row r="41" spans="1:12">
      <c r="A41" s="6" t="s">
        <v>118</v>
      </c>
      <c r="B41" s="9" t="s">
        <v>119</v>
      </c>
      <c r="C41" s="9" t="s">
        <v>120</v>
      </c>
      <c r="D41" s="9">
        <v>43566421</v>
      </c>
      <c r="E41" s="9" t="s">
        <v>123</v>
      </c>
      <c r="F41" s="9" t="s">
        <v>17</v>
      </c>
      <c r="G41" s="9" t="s">
        <v>94</v>
      </c>
      <c r="H41" s="10">
        <v>2026</v>
      </c>
      <c r="I41" s="9">
        <v>3</v>
      </c>
      <c r="J41" s="12" t="s">
        <v>19</v>
      </c>
      <c r="K41" s="12" t="s">
        <v>19</v>
      </c>
      <c r="L41" s="12" t="s">
        <v>19</v>
      </c>
    </row>
    <row r="42" spans="1:12">
      <c r="A42" s="6" t="s">
        <v>118</v>
      </c>
      <c r="B42" s="9" t="s">
        <v>119</v>
      </c>
      <c r="C42" s="9" t="s">
        <v>120</v>
      </c>
      <c r="D42" s="9">
        <v>43566422</v>
      </c>
      <c r="E42" s="9" t="s">
        <v>124</v>
      </c>
      <c r="F42" s="9" t="s">
        <v>17</v>
      </c>
      <c r="G42" s="9" t="s">
        <v>94</v>
      </c>
      <c r="H42" s="10">
        <v>2026</v>
      </c>
      <c r="I42" s="9">
        <v>3</v>
      </c>
      <c r="J42" s="12" t="s">
        <v>19</v>
      </c>
      <c r="K42" s="12" t="s">
        <v>19</v>
      </c>
      <c r="L42" s="12" t="s">
        <v>19</v>
      </c>
    </row>
    <row r="43" spans="1:12">
      <c r="A43" s="6" t="s">
        <v>30</v>
      </c>
      <c r="B43" s="9" t="s">
        <v>31</v>
      </c>
      <c r="C43" s="9" t="s">
        <v>56</v>
      </c>
      <c r="D43" s="9">
        <v>43600270</v>
      </c>
      <c r="E43" s="9" t="s">
        <v>57</v>
      </c>
      <c r="F43" s="9" t="s">
        <v>52</v>
      </c>
      <c r="G43" s="9" t="s">
        <v>18</v>
      </c>
      <c r="H43" s="10">
        <v>2026</v>
      </c>
      <c r="I43" s="9">
        <v>3</v>
      </c>
      <c r="J43" s="12" t="s">
        <v>19</v>
      </c>
      <c r="K43" s="12" t="s">
        <v>20</v>
      </c>
      <c r="L43" s="12" t="s">
        <v>20</v>
      </c>
    </row>
    <row r="44" spans="1:12">
      <c r="A44" s="6" t="s">
        <v>58</v>
      </c>
      <c r="B44" s="9" t="s">
        <v>59</v>
      </c>
      <c r="C44" s="9" t="s">
        <v>60</v>
      </c>
      <c r="D44" s="9">
        <v>43590263</v>
      </c>
      <c r="E44" s="9" t="s">
        <v>61</v>
      </c>
      <c r="F44" s="9" t="s">
        <v>17</v>
      </c>
      <c r="G44" s="9" t="s">
        <v>18</v>
      </c>
      <c r="H44" s="10">
        <v>2026</v>
      </c>
      <c r="I44" s="9">
        <v>3</v>
      </c>
      <c r="J44" s="12" t="s">
        <v>19</v>
      </c>
      <c r="K44" s="12" t="s">
        <v>20</v>
      </c>
      <c r="L44" s="12" t="s">
        <v>19</v>
      </c>
    </row>
    <row r="45" spans="1:12">
      <c r="A45" s="6" t="s">
        <v>30</v>
      </c>
      <c r="B45" s="9" t="s">
        <v>62</v>
      </c>
      <c r="C45" s="9" t="s">
        <v>63</v>
      </c>
      <c r="D45" s="9">
        <v>43556951</v>
      </c>
      <c r="E45" s="9" t="s">
        <v>64</v>
      </c>
      <c r="F45" s="9" t="s">
        <v>52</v>
      </c>
      <c r="G45" s="9" t="s">
        <v>18</v>
      </c>
      <c r="H45" s="10">
        <v>2026</v>
      </c>
      <c r="I45" s="9">
        <v>3</v>
      </c>
      <c r="J45" s="12" t="s">
        <v>19</v>
      </c>
      <c r="K45" s="12" t="s">
        <v>20</v>
      </c>
      <c r="L45" s="12" t="s">
        <v>20</v>
      </c>
    </row>
    <row r="46" spans="1:12">
      <c r="A46" s="6" t="s">
        <v>30</v>
      </c>
      <c r="B46" s="9" t="s">
        <v>62</v>
      </c>
      <c r="C46" s="9" t="s">
        <v>65</v>
      </c>
      <c r="D46" s="9">
        <v>43556946</v>
      </c>
      <c r="E46" s="9" t="s">
        <v>66</v>
      </c>
      <c r="F46" s="9" t="s">
        <v>52</v>
      </c>
      <c r="G46" s="9" t="s">
        <v>18</v>
      </c>
      <c r="H46" s="10">
        <v>2026</v>
      </c>
      <c r="I46" s="9">
        <v>3</v>
      </c>
      <c r="J46" s="12" t="s">
        <v>19</v>
      </c>
      <c r="K46" s="12" t="s">
        <v>20</v>
      </c>
      <c r="L46" s="12" t="s">
        <v>20</v>
      </c>
    </row>
    <row r="47" spans="1:12">
      <c r="A47" s="6" t="s">
        <v>30</v>
      </c>
      <c r="B47" s="9" t="s">
        <v>62</v>
      </c>
      <c r="C47" s="9" t="s">
        <v>65</v>
      </c>
      <c r="D47" s="9">
        <v>43556943</v>
      </c>
      <c r="E47" s="9" t="s">
        <v>67</v>
      </c>
      <c r="F47" s="9" t="s">
        <v>52</v>
      </c>
      <c r="G47" s="9" t="s">
        <v>18</v>
      </c>
      <c r="H47" s="10">
        <v>2026</v>
      </c>
      <c r="I47" s="9">
        <v>3</v>
      </c>
      <c r="J47" s="12" t="s">
        <v>19</v>
      </c>
      <c r="K47" s="12" t="s">
        <v>20</v>
      </c>
      <c r="L47" s="12" t="s">
        <v>20</v>
      </c>
    </row>
    <row r="48" spans="1:12">
      <c r="A48" s="6" t="s">
        <v>30</v>
      </c>
      <c r="B48" s="9" t="s">
        <v>62</v>
      </c>
      <c r="C48" s="9" t="s">
        <v>68</v>
      </c>
      <c r="D48" s="9">
        <v>43556947</v>
      </c>
      <c r="E48" s="9" t="s">
        <v>69</v>
      </c>
      <c r="F48" s="9" t="s">
        <v>52</v>
      </c>
      <c r="G48" s="9" t="s">
        <v>18</v>
      </c>
      <c r="H48" s="10">
        <v>2026</v>
      </c>
      <c r="I48" s="9">
        <v>3</v>
      </c>
      <c r="J48" s="12" t="s">
        <v>19</v>
      </c>
      <c r="K48" s="12" t="s">
        <v>20</v>
      </c>
      <c r="L48" s="12" t="s">
        <v>20</v>
      </c>
    </row>
    <row r="49" spans="1:12">
      <c r="A49" s="6" t="s">
        <v>30</v>
      </c>
      <c r="B49" s="9" t="s">
        <v>62</v>
      </c>
      <c r="C49" s="9" t="s">
        <v>70</v>
      </c>
      <c r="D49" s="9">
        <v>43556949</v>
      </c>
      <c r="E49" s="9" t="s">
        <v>71</v>
      </c>
      <c r="F49" s="9" t="s">
        <v>52</v>
      </c>
      <c r="G49" s="9" t="s">
        <v>18</v>
      </c>
      <c r="H49" s="10">
        <v>2026</v>
      </c>
      <c r="I49" s="9">
        <v>3</v>
      </c>
      <c r="J49" s="12" t="s">
        <v>19</v>
      </c>
      <c r="K49" s="12" t="s">
        <v>20</v>
      </c>
      <c r="L49" s="12" t="s">
        <v>20</v>
      </c>
    </row>
    <row r="50" spans="1:12">
      <c r="A50" s="6" t="s">
        <v>30</v>
      </c>
      <c r="B50" s="9" t="s">
        <v>62</v>
      </c>
      <c r="C50" s="9" t="s">
        <v>65</v>
      </c>
      <c r="D50" s="9">
        <v>43556944</v>
      </c>
      <c r="E50" s="9" t="s">
        <v>72</v>
      </c>
      <c r="F50" s="9" t="s">
        <v>52</v>
      </c>
      <c r="G50" s="9" t="s">
        <v>18</v>
      </c>
      <c r="H50" s="10">
        <v>2026</v>
      </c>
      <c r="I50" s="9">
        <v>3</v>
      </c>
      <c r="J50" s="12" t="s">
        <v>19</v>
      </c>
      <c r="K50" s="12" t="s">
        <v>20</v>
      </c>
      <c r="L50" s="12" t="s">
        <v>20</v>
      </c>
    </row>
    <row r="51" spans="1:12">
      <c r="A51" s="6" t="s">
        <v>30</v>
      </c>
      <c r="B51" s="9" t="s">
        <v>62</v>
      </c>
      <c r="C51" s="9" t="s">
        <v>68</v>
      </c>
      <c r="D51" s="9">
        <v>43556945</v>
      </c>
      <c r="E51" s="9" t="s">
        <v>73</v>
      </c>
      <c r="F51" s="9" t="s">
        <v>52</v>
      </c>
      <c r="G51" s="9" t="s">
        <v>18</v>
      </c>
      <c r="H51" s="10">
        <v>2026</v>
      </c>
      <c r="I51" s="9">
        <v>3</v>
      </c>
      <c r="J51" s="12" t="s">
        <v>19</v>
      </c>
      <c r="K51" s="12" t="s">
        <v>20</v>
      </c>
      <c r="L51" s="12" t="s">
        <v>20</v>
      </c>
    </row>
    <row r="52" spans="1:12">
      <c r="A52" s="6" t="s">
        <v>30</v>
      </c>
      <c r="B52" s="9" t="s">
        <v>31</v>
      </c>
      <c r="C52" s="9" t="s">
        <v>32</v>
      </c>
      <c r="D52" s="9">
        <v>43556948</v>
      </c>
      <c r="E52" s="9" t="s">
        <v>74</v>
      </c>
      <c r="F52" s="9" t="s">
        <v>52</v>
      </c>
      <c r="G52" s="9" t="s">
        <v>18</v>
      </c>
      <c r="H52" s="10">
        <v>2026</v>
      </c>
      <c r="I52" s="9">
        <v>3</v>
      </c>
      <c r="J52" s="12" t="s">
        <v>19</v>
      </c>
      <c r="K52" s="12" t="s">
        <v>20</v>
      </c>
      <c r="L52" s="12" t="s">
        <v>20</v>
      </c>
    </row>
    <row r="53" spans="1:12">
      <c r="A53" s="6" t="s">
        <v>30</v>
      </c>
      <c r="B53" s="9" t="s">
        <v>31</v>
      </c>
      <c r="C53" s="9" t="s">
        <v>32</v>
      </c>
      <c r="D53" s="9">
        <v>43556954</v>
      </c>
      <c r="E53" s="9" t="s">
        <v>75</v>
      </c>
      <c r="F53" s="9" t="s">
        <v>52</v>
      </c>
      <c r="G53" s="9" t="s">
        <v>18</v>
      </c>
      <c r="H53" s="10">
        <v>2026</v>
      </c>
      <c r="I53" s="9">
        <v>3</v>
      </c>
      <c r="J53" s="12" t="s">
        <v>19</v>
      </c>
      <c r="K53" s="12" t="s">
        <v>20</v>
      </c>
      <c r="L53" s="12" t="s">
        <v>20</v>
      </c>
    </row>
    <row r="54" spans="1:12">
      <c r="A54" s="6" t="s">
        <v>30</v>
      </c>
      <c r="B54" s="9" t="s">
        <v>31</v>
      </c>
      <c r="C54" s="9" t="s">
        <v>56</v>
      </c>
      <c r="D54" s="9">
        <v>43556953</v>
      </c>
      <c r="E54" s="9" t="s">
        <v>76</v>
      </c>
      <c r="F54" s="9" t="s">
        <v>52</v>
      </c>
      <c r="G54" s="9" t="s">
        <v>18</v>
      </c>
      <c r="H54" s="10">
        <v>2026</v>
      </c>
      <c r="I54" s="9">
        <v>3</v>
      </c>
      <c r="J54" s="12" t="s">
        <v>19</v>
      </c>
      <c r="K54" s="12" t="s">
        <v>20</v>
      </c>
      <c r="L54" s="12" t="s">
        <v>20</v>
      </c>
    </row>
    <row r="55" spans="1:12">
      <c r="A55" s="6" t="s">
        <v>81</v>
      </c>
      <c r="B55" s="9" t="s">
        <v>96</v>
      </c>
      <c r="C55" s="9" t="s">
        <v>133</v>
      </c>
      <c r="D55" s="9">
        <v>43569118</v>
      </c>
      <c r="E55" s="9" t="s">
        <v>134</v>
      </c>
      <c r="F55" s="9" t="s">
        <v>17</v>
      </c>
      <c r="G55" s="9" t="s">
        <v>132</v>
      </c>
      <c r="H55" s="10">
        <v>2026</v>
      </c>
      <c r="I55" s="9">
        <v>3</v>
      </c>
      <c r="J55" s="12" t="s">
        <v>19</v>
      </c>
      <c r="K55" s="12" t="s">
        <v>19</v>
      </c>
      <c r="L55" s="12" t="s">
        <v>19</v>
      </c>
    </row>
    <row r="56" spans="1:12">
      <c r="A56" s="6" t="s">
        <v>81</v>
      </c>
      <c r="B56" s="9" t="s">
        <v>96</v>
      </c>
      <c r="C56" s="9" t="s">
        <v>133</v>
      </c>
      <c r="D56" s="9">
        <v>43569119</v>
      </c>
      <c r="E56" s="9" t="s">
        <v>135</v>
      </c>
      <c r="F56" s="9" t="s">
        <v>17</v>
      </c>
      <c r="G56" s="9" t="s">
        <v>132</v>
      </c>
      <c r="H56" s="10">
        <v>2026</v>
      </c>
      <c r="I56" s="9">
        <v>3</v>
      </c>
      <c r="J56" s="12" t="s">
        <v>19</v>
      </c>
      <c r="K56" s="12" t="s">
        <v>19</v>
      </c>
      <c r="L56" s="12" t="s">
        <v>19</v>
      </c>
    </row>
    <row r="57" spans="1:12">
      <c r="A57" s="6" t="s">
        <v>81</v>
      </c>
      <c r="B57" s="9" t="s">
        <v>96</v>
      </c>
      <c r="C57" s="9" t="s">
        <v>133</v>
      </c>
      <c r="D57" s="9">
        <v>43569114</v>
      </c>
      <c r="E57" s="9" t="s">
        <v>136</v>
      </c>
      <c r="F57" s="9" t="s">
        <v>17</v>
      </c>
      <c r="G57" s="9" t="s">
        <v>132</v>
      </c>
      <c r="H57" s="10">
        <v>2026</v>
      </c>
      <c r="I57" s="9">
        <v>3</v>
      </c>
      <c r="J57" s="12" t="s">
        <v>19</v>
      </c>
      <c r="K57" s="12" t="s">
        <v>19</v>
      </c>
      <c r="L57" s="12" t="s">
        <v>19</v>
      </c>
    </row>
    <row r="58" spans="1:12">
      <c r="A58" s="6" t="s">
        <v>81</v>
      </c>
      <c r="B58" s="9" t="s">
        <v>96</v>
      </c>
      <c r="C58" s="9" t="s">
        <v>133</v>
      </c>
      <c r="D58" s="9">
        <v>43569115</v>
      </c>
      <c r="E58" s="9" t="s">
        <v>137</v>
      </c>
      <c r="F58" s="9" t="s">
        <v>17</v>
      </c>
      <c r="G58" s="9" t="s">
        <v>132</v>
      </c>
      <c r="H58" s="10">
        <v>2026</v>
      </c>
      <c r="I58" s="9">
        <v>3</v>
      </c>
      <c r="J58" s="12" t="s">
        <v>19</v>
      </c>
      <c r="K58" s="12" t="s">
        <v>19</v>
      </c>
      <c r="L58" s="12" t="s">
        <v>19</v>
      </c>
    </row>
    <row r="59" spans="1:12">
      <c r="A59" s="6" t="s">
        <v>77</v>
      </c>
      <c r="B59" s="9" t="s">
        <v>78</v>
      </c>
      <c r="C59" s="9" t="s">
        <v>79</v>
      </c>
      <c r="D59" s="9">
        <v>43558148</v>
      </c>
      <c r="E59" s="9" t="s">
        <v>138</v>
      </c>
      <c r="F59" s="9" t="s">
        <v>17</v>
      </c>
      <c r="G59" s="9" t="s">
        <v>132</v>
      </c>
      <c r="H59" s="10">
        <v>2026</v>
      </c>
      <c r="I59" s="9">
        <v>3</v>
      </c>
      <c r="J59" s="12" t="s">
        <v>19</v>
      </c>
      <c r="K59" s="12" t="s">
        <v>19</v>
      </c>
      <c r="L59" s="12" t="s">
        <v>19</v>
      </c>
    </row>
    <row r="60" spans="1:12">
      <c r="A60" s="6" t="s">
        <v>77</v>
      </c>
      <c r="B60" s="9" t="s">
        <v>78</v>
      </c>
      <c r="C60" s="9" t="s">
        <v>79</v>
      </c>
      <c r="D60" s="9">
        <v>43558145</v>
      </c>
      <c r="E60" s="9" t="s">
        <v>139</v>
      </c>
      <c r="F60" s="9" t="s">
        <v>17</v>
      </c>
      <c r="G60" s="9" t="s">
        <v>132</v>
      </c>
      <c r="H60" s="10">
        <v>2026</v>
      </c>
      <c r="I60" s="9">
        <v>3</v>
      </c>
      <c r="J60" s="12" t="s">
        <v>19</v>
      </c>
      <c r="K60" s="12" t="s">
        <v>19</v>
      </c>
      <c r="L60" s="12" t="s">
        <v>19</v>
      </c>
    </row>
    <row r="61" spans="1:12">
      <c r="A61" s="6" t="s">
        <v>77</v>
      </c>
      <c r="B61" s="9" t="s">
        <v>78</v>
      </c>
      <c r="C61" s="9" t="s">
        <v>79</v>
      </c>
      <c r="D61" s="9">
        <v>43558147</v>
      </c>
      <c r="E61" s="9" t="s">
        <v>140</v>
      </c>
      <c r="F61" s="9" t="s">
        <v>17</v>
      </c>
      <c r="G61" s="9" t="s">
        <v>132</v>
      </c>
      <c r="H61" s="10">
        <v>2026</v>
      </c>
      <c r="I61" s="9">
        <v>3</v>
      </c>
      <c r="J61" s="12" t="s">
        <v>19</v>
      </c>
      <c r="K61" s="12" t="s">
        <v>19</v>
      </c>
      <c r="L61" s="12" t="s">
        <v>19</v>
      </c>
    </row>
    <row r="62" spans="1:12">
      <c r="A62" s="6" t="s">
        <v>77</v>
      </c>
      <c r="B62" s="9" t="s">
        <v>78</v>
      </c>
      <c r="C62" s="9" t="s">
        <v>79</v>
      </c>
      <c r="D62" s="9">
        <v>43558146</v>
      </c>
      <c r="E62" s="9" t="s">
        <v>141</v>
      </c>
      <c r="F62" s="9" t="s">
        <v>17</v>
      </c>
      <c r="G62" s="9" t="s">
        <v>132</v>
      </c>
      <c r="H62" s="10">
        <v>2026</v>
      </c>
      <c r="I62" s="9">
        <v>3</v>
      </c>
      <c r="J62" s="12" t="s">
        <v>19</v>
      </c>
      <c r="K62" s="12" t="s">
        <v>19</v>
      </c>
      <c r="L62" s="12" t="s">
        <v>19</v>
      </c>
    </row>
    <row r="63" spans="1:12">
      <c r="A63" s="6" t="s">
        <v>77</v>
      </c>
      <c r="B63" s="9" t="s">
        <v>78</v>
      </c>
      <c r="C63" s="9" t="s">
        <v>79</v>
      </c>
      <c r="D63" s="9">
        <v>43558144</v>
      </c>
      <c r="E63" s="9" t="s">
        <v>80</v>
      </c>
      <c r="F63" s="9" t="s">
        <v>17</v>
      </c>
      <c r="G63" s="9" t="s">
        <v>18</v>
      </c>
      <c r="H63" s="10">
        <v>2026</v>
      </c>
      <c r="I63" s="9">
        <v>3</v>
      </c>
      <c r="J63" s="12" t="s">
        <v>19</v>
      </c>
      <c r="K63" s="12" t="s">
        <v>20</v>
      </c>
      <c r="L63" s="12" t="s">
        <v>19</v>
      </c>
    </row>
    <row r="64" spans="1:12">
      <c r="A64" s="6" t="s">
        <v>81</v>
      </c>
      <c r="B64" s="9" t="s">
        <v>82</v>
      </c>
      <c r="C64" s="9" t="s">
        <v>83</v>
      </c>
      <c r="D64" s="9">
        <v>40530088</v>
      </c>
      <c r="E64" s="9" t="s">
        <v>84</v>
      </c>
      <c r="F64" s="9" t="s">
        <v>17</v>
      </c>
      <c r="G64" s="9" t="s">
        <v>18</v>
      </c>
      <c r="H64" s="10">
        <v>2026</v>
      </c>
      <c r="I64" s="9">
        <v>3</v>
      </c>
      <c r="J64" s="12" t="s">
        <v>19</v>
      </c>
      <c r="K64" s="12" t="s">
        <v>20</v>
      </c>
      <c r="L64" s="12" t="s">
        <v>19</v>
      </c>
    </row>
    <row r="65" spans="1:12">
      <c r="A65" s="6" t="s">
        <v>46</v>
      </c>
      <c r="B65" s="9" t="s">
        <v>85</v>
      </c>
      <c r="C65" s="9" t="s">
        <v>86</v>
      </c>
      <c r="D65" s="9">
        <v>43596765</v>
      </c>
      <c r="E65" s="9" t="s">
        <v>87</v>
      </c>
      <c r="F65" s="9" t="s">
        <v>17</v>
      </c>
      <c r="G65" s="9" t="s">
        <v>18</v>
      </c>
      <c r="H65" s="10">
        <v>2026</v>
      </c>
      <c r="I65" s="9">
        <v>3</v>
      </c>
      <c r="J65" s="12" t="s">
        <v>19</v>
      </c>
      <c r="K65" s="12" t="s">
        <v>20</v>
      </c>
      <c r="L65" s="12" t="s">
        <v>50</v>
      </c>
    </row>
    <row r="66" spans="1:12">
      <c r="A66" s="6" t="s">
        <v>30</v>
      </c>
      <c r="B66" s="9" t="s">
        <v>31</v>
      </c>
      <c r="C66" s="9" t="s">
        <v>56</v>
      </c>
      <c r="D66" s="9">
        <v>43573706</v>
      </c>
      <c r="E66" s="9" t="s">
        <v>125</v>
      </c>
      <c r="F66" s="9" t="s">
        <v>52</v>
      </c>
      <c r="G66" s="9" t="s">
        <v>94</v>
      </c>
      <c r="H66" s="10">
        <v>2026</v>
      </c>
      <c r="I66" s="9">
        <v>3</v>
      </c>
      <c r="J66" s="12" t="s">
        <v>19</v>
      </c>
      <c r="K66" s="12" t="s">
        <v>19</v>
      </c>
      <c r="L66" s="12" t="s">
        <v>20</v>
      </c>
    </row>
    <row r="67" spans="1:12">
      <c r="A67" s="6" t="s">
        <v>30</v>
      </c>
      <c r="B67" s="9" t="s">
        <v>31</v>
      </c>
      <c r="C67" s="9" t="s">
        <v>56</v>
      </c>
      <c r="D67" s="9">
        <v>43585265</v>
      </c>
      <c r="E67" s="9" t="s">
        <v>126</v>
      </c>
      <c r="F67" s="9" t="s">
        <v>52</v>
      </c>
      <c r="G67" s="9" t="s">
        <v>94</v>
      </c>
      <c r="H67" s="10">
        <v>2026</v>
      </c>
      <c r="I67" s="9">
        <v>3</v>
      </c>
      <c r="J67" s="12" t="s">
        <v>19</v>
      </c>
      <c r="K67" s="12" t="s">
        <v>19</v>
      </c>
      <c r="L67" s="12" t="s">
        <v>20</v>
      </c>
    </row>
    <row r="68" spans="1:12">
      <c r="A68" s="27" t="s">
        <v>13</v>
      </c>
      <c r="B68" s="26" t="s">
        <v>88</v>
      </c>
      <c r="C68" s="26" t="s">
        <v>89</v>
      </c>
      <c r="D68" s="26">
        <v>43590871</v>
      </c>
      <c r="E68" s="26" t="s">
        <v>90</v>
      </c>
      <c r="F68" s="26" t="s">
        <v>52</v>
      </c>
      <c r="G68" s="26" t="s">
        <v>18</v>
      </c>
      <c r="I68" s="26">
        <v>3</v>
      </c>
      <c r="J68" s="12" t="s">
        <v>19</v>
      </c>
      <c r="K68" s="12" t="s">
        <v>20</v>
      </c>
      <c r="L68" s="12" t="s">
        <v>20</v>
      </c>
    </row>
    <row r="69" spans="1:12">
      <c r="A69" s="27" t="s">
        <v>13</v>
      </c>
      <c r="B69" s="26" t="s">
        <v>88</v>
      </c>
      <c r="C69" s="26" t="s">
        <v>89</v>
      </c>
      <c r="D69" s="26">
        <v>43590870</v>
      </c>
      <c r="E69" s="26" t="s">
        <v>91</v>
      </c>
      <c r="F69" s="26" t="s">
        <v>52</v>
      </c>
      <c r="G69" s="26" t="s">
        <v>18</v>
      </c>
      <c r="I69" s="26">
        <v>3</v>
      </c>
      <c r="J69" s="12" t="s">
        <v>19</v>
      </c>
      <c r="K69" s="12" t="s">
        <v>20</v>
      </c>
      <c r="L69" s="12" t="s">
        <v>20</v>
      </c>
    </row>
    <row r="70" spans="1:12">
      <c r="A70" s="27" t="s">
        <v>127</v>
      </c>
      <c r="B70" s="26" t="s">
        <v>128</v>
      </c>
      <c r="C70" s="26" t="s">
        <v>129</v>
      </c>
      <c r="D70" s="26">
        <v>41044758</v>
      </c>
      <c r="E70" s="26" t="s">
        <v>130</v>
      </c>
      <c r="F70" s="26" t="s">
        <v>17</v>
      </c>
      <c r="G70" s="26" t="s">
        <v>94</v>
      </c>
      <c r="I70" s="26">
        <v>2</v>
      </c>
      <c r="J70" s="12" t="s">
        <v>19</v>
      </c>
      <c r="K70" s="12" t="s">
        <v>19</v>
      </c>
      <c r="L70" s="12" t="s">
        <v>19</v>
      </c>
    </row>
  </sheetData>
  <autoFilter ref="A2:L70" xr:uid="{0B4C4CE5-8B73-4A30-9B62-73131413A908}"/>
  <conditionalFormatting sqref="D2">
    <cfRule type="duplicateValues" dxfId="50" priority="4"/>
    <cfRule type="duplicateValues" dxfId="49" priority="5"/>
    <cfRule type="duplicateValues" dxfId="48" priority="6"/>
  </conditionalFormatting>
  <conditionalFormatting sqref="E3:E16 E19:E70">
    <cfRule type="duplicateValues" dxfId="47" priority="43"/>
    <cfRule type="duplicateValues" dxfId="46" priority="44"/>
    <cfRule type="duplicateValues" dxfId="45" priority="4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B4C8B-32E8-4646-A638-0BFB1E75642A}">
  <dimension ref="A1:L89"/>
  <sheetViews>
    <sheetView tabSelected="1" zoomScale="76" workbookViewId="0">
      <selection activeCell="C2" sqref="C2"/>
    </sheetView>
  </sheetViews>
  <sheetFormatPr defaultColWidth="11.5703125" defaultRowHeight="14.45"/>
  <cols>
    <col min="1" max="1" width="27.7109375" style="11" customWidth="1"/>
    <col min="2" max="2" width="41" style="11" customWidth="1"/>
    <col min="3" max="3" width="33" style="11" customWidth="1"/>
    <col min="4" max="4" width="11.5703125" style="11"/>
    <col min="5" max="5" width="67.7109375" style="11" bestFit="1" customWidth="1"/>
    <col min="6" max="6" width="13.5703125" style="11" bestFit="1" customWidth="1"/>
    <col min="7" max="7" width="18.42578125" style="11" bestFit="1" customWidth="1"/>
    <col min="8" max="16384" width="11.5703125" style="11"/>
  </cols>
  <sheetData>
    <row r="1" spans="1:12">
      <c r="J1" s="13" t="s">
        <v>142</v>
      </c>
      <c r="K1" s="13" t="s">
        <v>142</v>
      </c>
      <c r="L1" s="13" t="s">
        <v>142</v>
      </c>
    </row>
    <row r="2" spans="1:12" ht="21.6">
      <c r="A2" s="8" t="s">
        <v>0</v>
      </c>
      <c r="B2" s="8" t="s">
        <v>1</v>
      </c>
      <c r="C2" s="8" t="s">
        <v>2</v>
      </c>
      <c r="D2" s="8" t="s">
        <v>143</v>
      </c>
      <c r="E2" s="8" t="s">
        <v>5</v>
      </c>
      <c r="F2" s="8" t="s">
        <v>6</v>
      </c>
      <c r="G2" s="8" t="s">
        <v>144</v>
      </c>
      <c r="H2" s="8" t="s">
        <v>8</v>
      </c>
      <c r="I2" s="8" t="s">
        <v>9</v>
      </c>
      <c r="J2" s="8" t="s">
        <v>145</v>
      </c>
      <c r="K2" s="8" t="s">
        <v>146</v>
      </c>
      <c r="L2" s="8" t="s">
        <v>12</v>
      </c>
    </row>
    <row r="3" spans="1:12">
      <c r="A3" s="6" t="s">
        <v>147</v>
      </c>
      <c r="B3" s="9" t="s">
        <v>148</v>
      </c>
      <c r="C3" s="9" t="s">
        <v>149</v>
      </c>
      <c r="D3" s="9">
        <v>43491575</v>
      </c>
      <c r="E3" s="9" t="s">
        <v>150</v>
      </c>
      <c r="F3" s="9" t="s">
        <v>17</v>
      </c>
      <c r="G3" s="9" t="s">
        <v>18</v>
      </c>
      <c r="H3" s="10">
        <v>2025</v>
      </c>
      <c r="I3" s="9">
        <v>8</v>
      </c>
      <c r="J3" s="12" t="s">
        <v>19</v>
      </c>
      <c r="K3" s="12" t="s">
        <v>19</v>
      </c>
      <c r="L3" s="12" t="s">
        <v>50</v>
      </c>
    </row>
    <row r="4" spans="1:12">
      <c r="A4" s="7" t="s">
        <v>151</v>
      </c>
      <c r="B4" s="9" t="s">
        <v>152</v>
      </c>
      <c r="C4" s="9" t="s">
        <v>153</v>
      </c>
      <c r="D4" s="9">
        <v>43553622</v>
      </c>
      <c r="E4" s="9" t="s">
        <v>154</v>
      </c>
      <c r="F4" s="9" t="s">
        <v>52</v>
      </c>
      <c r="G4" s="9" t="s">
        <v>18</v>
      </c>
      <c r="H4" s="10">
        <v>2025</v>
      </c>
      <c r="I4" s="9">
        <v>10</v>
      </c>
      <c r="J4" s="12" t="s">
        <v>19</v>
      </c>
      <c r="K4" s="12" t="s">
        <v>19</v>
      </c>
      <c r="L4" s="12" t="s">
        <v>50</v>
      </c>
    </row>
    <row r="5" spans="1:12">
      <c r="A5" s="6" t="s">
        <v>155</v>
      </c>
      <c r="B5" s="9" t="s">
        <v>156</v>
      </c>
      <c r="C5" s="9" t="s">
        <v>157</v>
      </c>
      <c r="D5" s="9">
        <v>43556062</v>
      </c>
      <c r="E5" s="9" t="s">
        <v>158</v>
      </c>
      <c r="F5" s="9" t="s">
        <v>17</v>
      </c>
      <c r="G5" s="9" t="s">
        <v>159</v>
      </c>
      <c r="H5" s="10">
        <v>2025</v>
      </c>
      <c r="I5" s="9">
        <v>10</v>
      </c>
      <c r="J5" s="12" t="s">
        <v>19</v>
      </c>
      <c r="K5" s="12" t="s">
        <v>19</v>
      </c>
      <c r="L5" s="12" t="s">
        <v>19</v>
      </c>
    </row>
    <row r="6" spans="1:12">
      <c r="A6" s="6" t="s">
        <v>155</v>
      </c>
      <c r="B6" s="9" t="s">
        <v>156</v>
      </c>
      <c r="C6" s="9" t="s">
        <v>157</v>
      </c>
      <c r="D6" s="9">
        <v>43556064</v>
      </c>
      <c r="E6" s="9" t="s">
        <v>160</v>
      </c>
      <c r="F6" s="9" t="s">
        <v>52</v>
      </c>
      <c r="G6" s="9" t="s">
        <v>159</v>
      </c>
      <c r="H6" s="10">
        <v>2025</v>
      </c>
      <c r="I6" s="9">
        <v>10</v>
      </c>
      <c r="J6" s="12" t="s">
        <v>19</v>
      </c>
      <c r="K6" s="12" t="s">
        <v>19</v>
      </c>
      <c r="L6" s="12" t="s">
        <v>50</v>
      </c>
    </row>
    <row r="7" spans="1:12">
      <c r="A7" s="6" t="s">
        <v>161</v>
      </c>
      <c r="B7" s="9" t="s">
        <v>162</v>
      </c>
      <c r="C7" s="9" t="s">
        <v>163</v>
      </c>
      <c r="D7" s="9">
        <v>40698736</v>
      </c>
      <c r="E7" s="9" t="s">
        <v>164</v>
      </c>
      <c r="F7" s="9" t="s">
        <v>17</v>
      </c>
      <c r="G7" s="9" t="s">
        <v>159</v>
      </c>
      <c r="H7" s="10">
        <v>2025</v>
      </c>
      <c r="I7" s="9">
        <v>10</v>
      </c>
      <c r="J7" s="12" t="s">
        <v>19</v>
      </c>
      <c r="K7" s="12" t="s">
        <v>19</v>
      </c>
      <c r="L7" s="12" t="s">
        <v>19</v>
      </c>
    </row>
    <row r="8" spans="1:12">
      <c r="A8" s="6" t="s">
        <v>161</v>
      </c>
      <c r="B8" s="9" t="s">
        <v>162</v>
      </c>
      <c r="C8" s="9" t="s">
        <v>163</v>
      </c>
      <c r="D8" s="9">
        <v>43545608</v>
      </c>
      <c r="E8" s="9" t="s">
        <v>165</v>
      </c>
      <c r="F8" s="9" t="s">
        <v>17</v>
      </c>
      <c r="G8" s="9" t="s">
        <v>159</v>
      </c>
      <c r="H8" s="10">
        <v>2025</v>
      </c>
      <c r="I8" s="9">
        <v>10</v>
      </c>
      <c r="J8" s="12" t="s">
        <v>19</v>
      </c>
      <c r="K8" s="12" t="s">
        <v>19</v>
      </c>
      <c r="L8" s="12" t="s">
        <v>19</v>
      </c>
    </row>
    <row r="9" spans="1:12">
      <c r="A9" s="6" t="s">
        <v>151</v>
      </c>
      <c r="B9" s="9"/>
      <c r="C9" s="9"/>
      <c r="D9" s="9">
        <v>43556064</v>
      </c>
      <c r="E9" s="9" t="s">
        <v>166</v>
      </c>
      <c r="F9" s="9" t="s">
        <v>52</v>
      </c>
      <c r="G9" s="9" t="s">
        <v>159</v>
      </c>
      <c r="H9" s="10">
        <v>2025</v>
      </c>
      <c r="I9" s="9">
        <v>10</v>
      </c>
      <c r="J9" s="12" t="s">
        <v>50</v>
      </c>
      <c r="K9" s="12" t="s">
        <v>50</v>
      </c>
      <c r="L9" s="12" t="s">
        <v>50</v>
      </c>
    </row>
    <row r="10" spans="1:12">
      <c r="A10" s="6" t="s">
        <v>161</v>
      </c>
      <c r="B10" s="9"/>
      <c r="C10" s="9"/>
      <c r="D10" s="9">
        <v>43556062</v>
      </c>
      <c r="E10" s="9" t="s">
        <v>167</v>
      </c>
      <c r="F10" s="9" t="s">
        <v>17</v>
      </c>
      <c r="G10" s="9" t="s">
        <v>159</v>
      </c>
      <c r="H10" s="10">
        <v>2025</v>
      </c>
      <c r="I10" s="9">
        <v>10</v>
      </c>
      <c r="J10" s="12" t="s">
        <v>19</v>
      </c>
      <c r="K10" s="12" t="s">
        <v>19</v>
      </c>
      <c r="L10" s="12" t="s">
        <v>19</v>
      </c>
    </row>
    <row r="11" spans="1:12">
      <c r="A11" s="6" t="s">
        <v>168</v>
      </c>
      <c r="B11" s="9" t="s">
        <v>169</v>
      </c>
      <c r="C11" s="9" t="s">
        <v>170</v>
      </c>
      <c r="D11" s="9">
        <v>43530242</v>
      </c>
      <c r="E11" s="9" t="s">
        <v>171</v>
      </c>
      <c r="F11" s="9" t="s">
        <v>172</v>
      </c>
      <c r="G11" s="9" t="s">
        <v>18</v>
      </c>
      <c r="H11" s="10">
        <v>2025</v>
      </c>
      <c r="I11" s="9">
        <v>11</v>
      </c>
      <c r="J11" s="12" t="s">
        <v>19</v>
      </c>
      <c r="K11" s="12" t="s">
        <v>19</v>
      </c>
      <c r="L11" s="12" t="s">
        <v>50</v>
      </c>
    </row>
    <row r="12" spans="1:12">
      <c r="A12" s="6" t="s">
        <v>168</v>
      </c>
      <c r="B12" s="9" t="s">
        <v>169</v>
      </c>
      <c r="C12" s="9" t="s">
        <v>170</v>
      </c>
      <c r="D12" s="9">
        <v>43530243</v>
      </c>
      <c r="E12" s="9" t="s">
        <v>173</v>
      </c>
      <c r="F12" s="9" t="s">
        <v>172</v>
      </c>
      <c r="G12" s="9" t="s">
        <v>18</v>
      </c>
      <c r="H12" s="10">
        <v>2025</v>
      </c>
      <c r="I12" s="9">
        <v>11</v>
      </c>
      <c r="J12" s="12" t="s">
        <v>19</v>
      </c>
      <c r="K12" s="12" t="s">
        <v>19</v>
      </c>
      <c r="L12" s="12" t="s">
        <v>50</v>
      </c>
    </row>
    <row r="13" spans="1:12">
      <c r="A13" s="6" t="s">
        <v>168</v>
      </c>
      <c r="B13" s="9" t="s">
        <v>169</v>
      </c>
      <c r="C13" s="9" t="s">
        <v>170</v>
      </c>
      <c r="D13" s="9">
        <v>43530244</v>
      </c>
      <c r="E13" s="9" t="s">
        <v>174</v>
      </c>
      <c r="F13" s="9" t="s">
        <v>172</v>
      </c>
      <c r="G13" s="9" t="s">
        <v>18</v>
      </c>
      <c r="H13" s="10">
        <v>2025</v>
      </c>
      <c r="I13" s="9">
        <v>11</v>
      </c>
      <c r="J13" s="12" t="s">
        <v>19</v>
      </c>
      <c r="K13" s="12" t="s">
        <v>19</v>
      </c>
      <c r="L13" s="12" t="s">
        <v>50</v>
      </c>
    </row>
    <row r="14" spans="1:12">
      <c r="A14" s="6" t="s">
        <v>168</v>
      </c>
      <c r="B14" s="9" t="s">
        <v>175</v>
      </c>
      <c r="C14" s="9" t="s">
        <v>176</v>
      </c>
      <c r="D14" s="9">
        <v>43530245</v>
      </c>
      <c r="E14" s="9" t="s">
        <v>177</v>
      </c>
      <c r="F14" s="9" t="s">
        <v>172</v>
      </c>
      <c r="G14" s="9" t="s">
        <v>18</v>
      </c>
      <c r="H14" s="10">
        <v>2025</v>
      </c>
      <c r="I14" s="9">
        <v>11</v>
      </c>
      <c r="J14" s="12" t="s">
        <v>19</v>
      </c>
      <c r="K14" s="12" t="s">
        <v>19</v>
      </c>
      <c r="L14" s="12" t="s">
        <v>50</v>
      </c>
    </row>
    <row r="15" spans="1:12">
      <c r="A15" s="6" t="s">
        <v>168</v>
      </c>
      <c r="B15" s="9" t="s">
        <v>175</v>
      </c>
      <c r="C15" s="9" t="s">
        <v>176</v>
      </c>
      <c r="D15" s="9">
        <v>43530246</v>
      </c>
      <c r="E15" s="9" t="s">
        <v>178</v>
      </c>
      <c r="F15" s="9" t="s">
        <v>172</v>
      </c>
      <c r="G15" s="9" t="s">
        <v>18</v>
      </c>
      <c r="H15" s="10">
        <v>2025</v>
      </c>
      <c r="I15" s="9">
        <v>11</v>
      </c>
      <c r="J15" s="12" t="s">
        <v>19</v>
      </c>
      <c r="K15" s="12" t="s">
        <v>19</v>
      </c>
      <c r="L15" s="12" t="s">
        <v>50</v>
      </c>
    </row>
    <row r="16" spans="1:12">
      <c r="A16" s="6" t="s">
        <v>168</v>
      </c>
      <c r="B16" s="9" t="s">
        <v>179</v>
      </c>
      <c r="C16" s="9" t="s">
        <v>180</v>
      </c>
      <c r="D16" s="9">
        <v>43530247</v>
      </c>
      <c r="E16" s="9" t="s">
        <v>181</v>
      </c>
      <c r="F16" s="9" t="s">
        <v>172</v>
      </c>
      <c r="G16" s="9" t="s">
        <v>18</v>
      </c>
      <c r="H16" s="10">
        <v>2025</v>
      </c>
      <c r="I16" s="9">
        <v>11</v>
      </c>
      <c r="J16" s="12" t="s">
        <v>19</v>
      </c>
      <c r="K16" s="12" t="s">
        <v>19</v>
      </c>
      <c r="L16" s="12" t="s">
        <v>50</v>
      </c>
    </row>
    <row r="17" spans="1:12">
      <c r="A17" s="6" t="s">
        <v>168</v>
      </c>
      <c r="B17" s="9" t="s">
        <v>179</v>
      </c>
      <c r="C17" s="9" t="s">
        <v>180</v>
      </c>
      <c r="D17" s="9">
        <v>43530248</v>
      </c>
      <c r="E17" s="9" t="s">
        <v>182</v>
      </c>
      <c r="F17" s="9" t="s">
        <v>172</v>
      </c>
      <c r="G17" s="9" t="s">
        <v>18</v>
      </c>
      <c r="H17" s="10">
        <v>2025</v>
      </c>
      <c r="I17" s="9">
        <v>11</v>
      </c>
      <c r="J17" s="12" t="s">
        <v>19</v>
      </c>
      <c r="K17" s="12" t="s">
        <v>19</v>
      </c>
      <c r="L17" s="12" t="s">
        <v>50</v>
      </c>
    </row>
    <row r="18" spans="1:12">
      <c r="A18" s="6" t="s">
        <v>168</v>
      </c>
      <c r="B18" s="9" t="s">
        <v>179</v>
      </c>
      <c r="C18" s="9" t="s">
        <v>180</v>
      </c>
      <c r="D18" s="9">
        <v>43530249</v>
      </c>
      <c r="E18" s="9" t="s">
        <v>183</v>
      </c>
      <c r="F18" s="9" t="s">
        <v>172</v>
      </c>
      <c r="G18" s="9" t="s">
        <v>18</v>
      </c>
      <c r="H18" s="10">
        <v>2025</v>
      </c>
      <c r="I18" s="9">
        <v>11</v>
      </c>
      <c r="J18" s="12" t="s">
        <v>19</v>
      </c>
      <c r="K18" s="12" t="s">
        <v>19</v>
      </c>
      <c r="L18" s="12" t="s">
        <v>50</v>
      </c>
    </row>
    <row r="19" spans="1:12">
      <c r="A19" s="6" t="s">
        <v>168</v>
      </c>
      <c r="B19" s="9" t="s">
        <v>179</v>
      </c>
      <c r="C19" s="9" t="s">
        <v>180</v>
      </c>
      <c r="D19" s="9">
        <v>43530250</v>
      </c>
      <c r="E19" s="9" t="s">
        <v>184</v>
      </c>
      <c r="F19" s="9" t="s">
        <v>172</v>
      </c>
      <c r="G19" s="9" t="s">
        <v>18</v>
      </c>
      <c r="H19" s="10">
        <v>2025</v>
      </c>
      <c r="I19" s="9">
        <v>11</v>
      </c>
      <c r="J19" s="12" t="s">
        <v>19</v>
      </c>
      <c r="K19" s="12" t="s">
        <v>19</v>
      </c>
      <c r="L19" s="12" t="s">
        <v>50</v>
      </c>
    </row>
    <row r="20" spans="1:12">
      <c r="A20" s="6" t="s">
        <v>168</v>
      </c>
      <c r="B20" s="9" t="s">
        <v>179</v>
      </c>
      <c r="C20" s="9" t="s">
        <v>185</v>
      </c>
      <c r="D20" s="9">
        <v>43530251</v>
      </c>
      <c r="E20" s="9" t="s">
        <v>186</v>
      </c>
      <c r="F20" s="9" t="s">
        <v>172</v>
      </c>
      <c r="G20" s="9" t="s">
        <v>18</v>
      </c>
      <c r="H20" s="10">
        <v>2025</v>
      </c>
      <c r="I20" s="9">
        <v>11</v>
      </c>
      <c r="J20" s="12" t="s">
        <v>19</v>
      </c>
      <c r="K20" s="12" t="s">
        <v>19</v>
      </c>
      <c r="L20" s="12" t="s">
        <v>50</v>
      </c>
    </row>
    <row r="21" spans="1:12">
      <c r="A21" s="6" t="s">
        <v>161</v>
      </c>
      <c r="B21" s="9" t="s">
        <v>162</v>
      </c>
      <c r="C21" s="9" t="s">
        <v>187</v>
      </c>
      <c r="D21" s="9">
        <v>43545605</v>
      </c>
      <c r="E21" s="9" t="s">
        <v>188</v>
      </c>
      <c r="F21" s="9" t="s">
        <v>52</v>
      </c>
      <c r="G21" s="9" t="s">
        <v>18</v>
      </c>
      <c r="H21" s="10">
        <v>2025</v>
      </c>
      <c r="I21" s="9">
        <v>11</v>
      </c>
      <c r="J21" s="12" t="s">
        <v>19</v>
      </c>
      <c r="K21" s="12" t="s">
        <v>19</v>
      </c>
      <c r="L21" s="12" t="s">
        <v>50</v>
      </c>
    </row>
    <row r="22" spans="1:12">
      <c r="A22" s="6" t="s">
        <v>161</v>
      </c>
      <c r="B22" s="9" t="s">
        <v>162</v>
      </c>
      <c r="C22" s="9" t="s">
        <v>187</v>
      </c>
      <c r="D22" s="9">
        <v>43545607</v>
      </c>
      <c r="E22" s="9" t="s">
        <v>189</v>
      </c>
      <c r="F22" s="9" t="s">
        <v>17</v>
      </c>
      <c r="G22" s="9" t="s">
        <v>159</v>
      </c>
      <c r="H22" s="10">
        <v>2025</v>
      </c>
      <c r="I22" s="9">
        <v>11</v>
      </c>
      <c r="J22" s="12" t="s">
        <v>19</v>
      </c>
      <c r="K22" s="12" t="s">
        <v>19</v>
      </c>
      <c r="L22" s="12" t="s">
        <v>19</v>
      </c>
    </row>
    <row r="23" spans="1:12">
      <c r="A23" s="6" t="s">
        <v>147</v>
      </c>
      <c r="B23" s="9" t="s">
        <v>31</v>
      </c>
      <c r="C23" s="9" t="s">
        <v>190</v>
      </c>
      <c r="D23" s="9">
        <v>43556018</v>
      </c>
      <c r="E23" s="9" t="s">
        <v>191</v>
      </c>
      <c r="F23" s="9" t="s">
        <v>17</v>
      </c>
      <c r="G23" s="9" t="s">
        <v>18</v>
      </c>
      <c r="H23" s="10">
        <v>2025</v>
      </c>
      <c r="I23" s="9">
        <v>11</v>
      </c>
      <c r="J23" s="12" t="s">
        <v>19</v>
      </c>
      <c r="K23" s="12" t="s">
        <v>19</v>
      </c>
      <c r="L23" s="12" t="s">
        <v>19</v>
      </c>
    </row>
    <row r="24" spans="1:12">
      <c r="A24" s="6" t="s">
        <v>147</v>
      </c>
      <c r="B24" s="9" t="s">
        <v>31</v>
      </c>
      <c r="C24" s="9" t="s">
        <v>190</v>
      </c>
      <c r="D24" s="9">
        <v>43556019</v>
      </c>
      <c r="E24" s="9" t="s">
        <v>192</v>
      </c>
      <c r="F24" s="9" t="s">
        <v>17</v>
      </c>
      <c r="G24" s="9" t="s">
        <v>18</v>
      </c>
      <c r="H24" s="10">
        <v>2025</v>
      </c>
      <c r="I24" s="9">
        <v>11</v>
      </c>
      <c r="J24" s="12" t="s">
        <v>19</v>
      </c>
      <c r="K24" s="12" t="s">
        <v>19</v>
      </c>
      <c r="L24" s="12" t="s">
        <v>19</v>
      </c>
    </row>
    <row r="25" spans="1:12">
      <c r="A25" s="6" t="s">
        <v>147</v>
      </c>
      <c r="B25" s="9" t="s">
        <v>31</v>
      </c>
      <c r="C25" s="9" t="s">
        <v>190</v>
      </c>
      <c r="D25" s="9">
        <v>43556020</v>
      </c>
      <c r="E25" s="9" t="s">
        <v>193</v>
      </c>
      <c r="F25" s="9" t="s">
        <v>17</v>
      </c>
      <c r="G25" s="9" t="s">
        <v>18</v>
      </c>
      <c r="H25" s="10">
        <v>2025</v>
      </c>
      <c r="I25" s="9">
        <v>11</v>
      </c>
      <c r="J25" s="12" t="s">
        <v>19</v>
      </c>
      <c r="K25" s="12" t="s">
        <v>19</v>
      </c>
      <c r="L25" s="12" t="s">
        <v>19</v>
      </c>
    </row>
    <row r="26" spans="1:12">
      <c r="A26" s="6" t="s">
        <v>194</v>
      </c>
      <c r="B26" s="9" t="s">
        <v>195</v>
      </c>
      <c r="C26" s="9" t="s">
        <v>196</v>
      </c>
      <c r="D26" s="9">
        <v>43553620</v>
      </c>
      <c r="E26" s="9" t="s">
        <v>197</v>
      </c>
      <c r="F26" s="9" t="s">
        <v>17</v>
      </c>
      <c r="G26" s="9" t="s">
        <v>18</v>
      </c>
      <c r="H26" s="10">
        <v>2025</v>
      </c>
      <c r="I26" s="9">
        <v>11</v>
      </c>
      <c r="J26" s="12" t="s">
        <v>19</v>
      </c>
      <c r="K26" s="12" t="s">
        <v>19</v>
      </c>
      <c r="L26" s="12" t="s">
        <v>19</v>
      </c>
    </row>
    <row r="27" spans="1:12">
      <c r="A27" s="6" t="s">
        <v>194</v>
      </c>
      <c r="B27" s="9" t="s">
        <v>195</v>
      </c>
      <c r="C27" s="9" t="s">
        <v>196</v>
      </c>
      <c r="D27" s="9">
        <v>43553621</v>
      </c>
      <c r="E27" s="9" t="s">
        <v>198</v>
      </c>
      <c r="F27" s="9" t="s">
        <v>17</v>
      </c>
      <c r="G27" s="9" t="s">
        <v>18</v>
      </c>
      <c r="H27" s="10">
        <v>2025</v>
      </c>
      <c r="I27" s="9">
        <v>11</v>
      </c>
      <c r="J27" s="12" t="s">
        <v>19</v>
      </c>
      <c r="K27" s="12" t="s">
        <v>19</v>
      </c>
      <c r="L27" s="12" t="s">
        <v>19</v>
      </c>
    </row>
    <row r="28" spans="1:12">
      <c r="A28" s="6" t="s">
        <v>147</v>
      </c>
      <c r="B28" s="9" t="s">
        <v>31</v>
      </c>
      <c r="C28" s="9" t="s">
        <v>56</v>
      </c>
      <c r="D28" s="9">
        <v>43556014</v>
      </c>
      <c r="E28" s="9" t="s">
        <v>199</v>
      </c>
      <c r="F28" s="9" t="s">
        <v>17</v>
      </c>
      <c r="G28" s="9" t="s">
        <v>18</v>
      </c>
      <c r="H28" s="10">
        <v>2025</v>
      </c>
      <c r="I28" s="9">
        <v>12</v>
      </c>
      <c r="J28" s="12" t="s">
        <v>19</v>
      </c>
      <c r="K28" s="12" t="s">
        <v>19</v>
      </c>
      <c r="L28" s="12" t="s">
        <v>19</v>
      </c>
    </row>
    <row r="29" spans="1:12">
      <c r="A29" s="6" t="s">
        <v>147</v>
      </c>
      <c r="B29" s="9" t="s">
        <v>31</v>
      </c>
      <c r="C29" s="9" t="s">
        <v>56</v>
      </c>
      <c r="D29" s="9">
        <v>43556015</v>
      </c>
      <c r="E29" s="9" t="s">
        <v>200</v>
      </c>
      <c r="F29" s="9" t="s">
        <v>17</v>
      </c>
      <c r="G29" s="9" t="s">
        <v>18</v>
      </c>
      <c r="H29" s="10">
        <v>2025</v>
      </c>
      <c r="I29" s="9">
        <v>12</v>
      </c>
      <c r="J29" s="12" t="s">
        <v>19</v>
      </c>
      <c r="K29" s="12" t="s">
        <v>19</v>
      </c>
      <c r="L29" s="12" t="s">
        <v>19</v>
      </c>
    </row>
    <row r="30" spans="1:12">
      <c r="A30" s="6" t="s">
        <v>147</v>
      </c>
      <c r="B30" s="9" t="s">
        <v>31</v>
      </c>
      <c r="C30" s="9" t="s">
        <v>56</v>
      </c>
      <c r="D30" s="9">
        <v>43556016</v>
      </c>
      <c r="E30" s="9" t="s">
        <v>201</v>
      </c>
      <c r="F30" s="9" t="s">
        <v>17</v>
      </c>
      <c r="G30" s="9" t="s">
        <v>18</v>
      </c>
      <c r="H30" s="10">
        <v>2025</v>
      </c>
      <c r="I30" s="9">
        <v>12</v>
      </c>
      <c r="J30" s="12" t="s">
        <v>19</v>
      </c>
      <c r="K30" s="12" t="s">
        <v>19</v>
      </c>
      <c r="L30" s="12" t="s">
        <v>19</v>
      </c>
    </row>
    <row r="31" spans="1:12">
      <c r="A31" s="6" t="s">
        <v>147</v>
      </c>
      <c r="B31" s="9" t="s">
        <v>31</v>
      </c>
      <c r="C31" s="9" t="s">
        <v>56</v>
      </c>
      <c r="D31" s="9">
        <v>43572028</v>
      </c>
      <c r="E31" s="9" t="s">
        <v>202</v>
      </c>
      <c r="F31" s="9" t="s">
        <v>17</v>
      </c>
      <c r="G31" s="9" t="s">
        <v>18</v>
      </c>
      <c r="H31" s="10">
        <v>2025</v>
      </c>
      <c r="I31" s="9">
        <v>12</v>
      </c>
      <c r="J31" s="12" t="s">
        <v>19</v>
      </c>
      <c r="K31" s="12" t="s">
        <v>19</v>
      </c>
      <c r="L31" s="12" t="s">
        <v>19</v>
      </c>
    </row>
    <row r="32" spans="1:12">
      <c r="A32" s="6" t="s">
        <v>147</v>
      </c>
      <c r="B32" s="9" t="s">
        <v>31</v>
      </c>
      <c r="C32" s="9" t="s">
        <v>56</v>
      </c>
      <c r="D32" s="9">
        <v>43572029</v>
      </c>
      <c r="E32" s="9" t="s">
        <v>203</v>
      </c>
      <c r="F32" s="9" t="s">
        <v>17</v>
      </c>
      <c r="G32" s="9" t="s">
        <v>18</v>
      </c>
      <c r="H32" s="10">
        <v>2025</v>
      </c>
      <c r="I32" s="9">
        <v>12</v>
      </c>
      <c r="J32" s="12" t="s">
        <v>19</v>
      </c>
      <c r="K32" s="12" t="s">
        <v>19</v>
      </c>
      <c r="L32" s="12" t="s">
        <v>19</v>
      </c>
    </row>
    <row r="33" spans="1:12">
      <c r="A33" s="6" t="s">
        <v>147</v>
      </c>
      <c r="B33" s="9" t="s">
        <v>31</v>
      </c>
      <c r="C33" s="9" t="s">
        <v>56</v>
      </c>
      <c r="D33" s="9">
        <v>43556017</v>
      </c>
      <c r="E33" s="9" t="s">
        <v>204</v>
      </c>
      <c r="F33" s="9" t="s">
        <v>17</v>
      </c>
      <c r="G33" s="9" t="s">
        <v>18</v>
      </c>
      <c r="H33" s="10">
        <v>2025</v>
      </c>
      <c r="I33" s="9">
        <v>12</v>
      </c>
      <c r="J33" s="12" t="s">
        <v>19</v>
      </c>
      <c r="K33" s="12" t="s">
        <v>19</v>
      </c>
      <c r="L33" s="12" t="s">
        <v>19</v>
      </c>
    </row>
    <row r="34" spans="1:12">
      <c r="A34" s="6" t="s">
        <v>194</v>
      </c>
      <c r="B34" s="9" t="s">
        <v>205</v>
      </c>
      <c r="C34" s="9" t="s">
        <v>206</v>
      </c>
      <c r="D34" s="9">
        <v>43553114</v>
      </c>
      <c r="E34" s="9" t="s">
        <v>207</v>
      </c>
      <c r="F34" s="9" t="s">
        <v>52</v>
      </c>
      <c r="G34" s="9" t="s">
        <v>18</v>
      </c>
      <c r="H34" s="10">
        <v>2025</v>
      </c>
      <c r="I34" s="9">
        <v>12</v>
      </c>
      <c r="J34" s="12" t="s">
        <v>19</v>
      </c>
      <c r="K34" s="12" t="s">
        <v>19</v>
      </c>
      <c r="L34" s="12" t="s">
        <v>50</v>
      </c>
    </row>
    <row r="35" spans="1:12">
      <c r="A35" s="6" t="s">
        <v>194</v>
      </c>
      <c r="B35" s="9" t="s">
        <v>205</v>
      </c>
      <c r="C35" s="9" t="s">
        <v>206</v>
      </c>
      <c r="D35" s="9">
        <v>43553115</v>
      </c>
      <c r="E35" s="9" t="s">
        <v>208</v>
      </c>
      <c r="F35" s="9" t="s">
        <v>52</v>
      </c>
      <c r="G35" s="9" t="s">
        <v>18</v>
      </c>
      <c r="H35" s="10">
        <v>2025</v>
      </c>
      <c r="I35" s="9">
        <v>12</v>
      </c>
      <c r="J35" s="12" t="s">
        <v>19</v>
      </c>
      <c r="K35" s="12" t="s">
        <v>19</v>
      </c>
      <c r="L35" s="12" t="s">
        <v>50</v>
      </c>
    </row>
    <row r="36" spans="1:12">
      <c r="A36" s="6" t="s">
        <v>151</v>
      </c>
      <c r="B36" s="9" t="s">
        <v>119</v>
      </c>
      <c r="C36" s="9" t="s">
        <v>209</v>
      </c>
      <c r="D36" s="9">
        <v>43188749</v>
      </c>
      <c r="E36" s="9" t="s">
        <v>210</v>
      </c>
      <c r="F36" s="9" t="s">
        <v>52</v>
      </c>
      <c r="G36" s="9" t="s">
        <v>159</v>
      </c>
      <c r="H36" s="10">
        <v>2025</v>
      </c>
      <c r="I36" s="9">
        <v>12</v>
      </c>
      <c r="J36" s="12" t="s">
        <v>19</v>
      </c>
      <c r="K36" s="12" t="s">
        <v>50</v>
      </c>
      <c r="L36" s="12" t="s">
        <v>50</v>
      </c>
    </row>
    <row r="37" spans="1:12">
      <c r="A37" s="6" t="s">
        <v>151</v>
      </c>
      <c r="B37" s="9" t="s">
        <v>119</v>
      </c>
      <c r="C37" s="9" t="s">
        <v>209</v>
      </c>
      <c r="D37" s="9">
        <v>43188750</v>
      </c>
      <c r="E37" s="9" t="s">
        <v>211</v>
      </c>
      <c r="F37" s="9" t="s">
        <v>52</v>
      </c>
      <c r="G37" s="9" t="s">
        <v>159</v>
      </c>
      <c r="H37" s="10">
        <v>2025</v>
      </c>
      <c r="I37" s="9">
        <v>12</v>
      </c>
      <c r="J37" s="12" t="s">
        <v>19</v>
      </c>
      <c r="K37" s="12" t="s">
        <v>50</v>
      </c>
      <c r="L37" s="12" t="s">
        <v>50</v>
      </c>
    </row>
    <row r="38" spans="1:12">
      <c r="A38" s="6" t="s">
        <v>151</v>
      </c>
      <c r="B38" s="9" t="s">
        <v>119</v>
      </c>
      <c r="C38" s="9" t="s">
        <v>212</v>
      </c>
      <c r="D38" s="9">
        <v>43597129</v>
      </c>
      <c r="E38" s="9" t="s">
        <v>213</v>
      </c>
      <c r="F38" s="9" t="s">
        <v>17</v>
      </c>
      <c r="G38" s="9" t="s">
        <v>18</v>
      </c>
      <c r="H38" s="10">
        <v>2025</v>
      </c>
      <c r="I38" s="9">
        <v>12</v>
      </c>
      <c r="J38" s="12" t="s">
        <v>19</v>
      </c>
      <c r="K38" s="12" t="s">
        <v>19</v>
      </c>
      <c r="L38" s="12" t="s">
        <v>50</v>
      </c>
    </row>
    <row r="39" spans="1:12">
      <c r="A39" s="11" t="s">
        <v>194</v>
      </c>
      <c r="D39" s="15">
        <v>43545610</v>
      </c>
      <c r="E39" s="15" t="s">
        <v>214</v>
      </c>
      <c r="F39" s="9" t="s">
        <v>17</v>
      </c>
      <c r="G39" s="9" t="s">
        <v>18</v>
      </c>
      <c r="H39" s="10">
        <v>2025</v>
      </c>
      <c r="I39" s="11">
        <v>9</v>
      </c>
    </row>
    <row r="40" spans="1:12">
      <c r="A40" s="11" t="s">
        <v>194</v>
      </c>
      <c r="D40" s="16">
        <v>43545611</v>
      </c>
      <c r="E40" s="16" t="s">
        <v>215</v>
      </c>
      <c r="F40" s="9" t="s">
        <v>17</v>
      </c>
      <c r="G40" s="9" t="s">
        <v>18</v>
      </c>
      <c r="H40" s="10">
        <v>2025</v>
      </c>
      <c r="I40" s="11">
        <v>9</v>
      </c>
    </row>
    <row r="41" spans="1:12">
      <c r="A41" s="11" t="s">
        <v>194</v>
      </c>
      <c r="D41" s="16">
        <v>43545612</v>
      </c>
      <c r="E41" s="16" t="s">
        <v>216</v>
      </c>
      <c r="F41" s="9" t="s">
        <v>17</v>
      </c>
      <c r="G41" s="9" t="s">
        <v>18</v>
      </c>
      <c r="H41" s="10">
        <v>2025</v>
      </c>
      <c r="I41" s="11">
        <v>9</v>
      </c>
    </row>
    <row r="42" spans="1:12">
      <c r="A42" s="11" t="s">
        <v>194</v>
      </c>
      <c r="D42" s="16">
        <v>43545614</v>
      </c>
      <c r="E42" s="16" t="s">
        <v>217</v>
      </c>
      <c r="F42" s="9" t="s">
        <v>17</v>
      </c>
      <c r="G42" s="9" t="s">
        <v>18</v>
      </c>
      <c r="H42" s="10">
        <v>2025</v>
      </c>
      <c r="I42" s="11">
        <v>9</v>
      </c>
    </row>
    <row r="43" spans="1:12">
      <c r="A43" s="11" t="s">
        <v>194</v>
      </c>
      <c r="D43" s="16">
        <v>43545625</v>
      </c>
      <c r="E43" s="16" t="s">
        <v>218</v>
      </c>
      <c r="F43" s="11" t="s">
        <v>52</v>
      </c>
      <c r="G43" s="9" t="s">
        <v>18</v>
      </c>
      <c r="H43" s="10">
        <v>2025</v>
      </c>
      <c r="I43" s="11">
        <v>9</v>
      </c>
    </row>
    <row r="44" spans="1:12">
      <c r="A44" s="11" t="s">
        <v>194</v>
      </c>
      <c r="D44" s="16">
        <v>43545626</v>
      </c>
      <c r="E44" s="16" t="s">
        <v>219</v>
      </c>
      <c r="F44" s="11" t="s">
        <v>52</v>
      </c>
      <c r="G44" s="9" t="s">
        <v>18</v>
      </c>
      <c r="H44" s="10">
        <v>2025</v>
      </c>
      <c r="I44" s="11">
        <v>9</v>
      </c>
    </row>
    <row r="45" spans="1:12">
      <c r="A45" s="11" t="s">
        <v>194</v>
      </c>
      <c r="D45" s="16">
        <v>43545627</v>
      </c>
      <c r="E45" s="16" t="s">
        <v>220</v>
      </c>
      <c r="F45" s="11" t="s">
        <v>52</v>
      </c>
      <c r="G45" s="9" t="s">
        <v>18</v>
      </c>
      <c r="H45" s="10">
        <v>2025</v>
      </c>
      <c r="I45" s="11">
        <v>9</v>
      </c>
    </row>
    <row r="46" spans="1:12">
      <c r="A46" s="11" t="s">
        <v>194</v>
      </c>
      <c r="D46" s="16">
        <v>43545615</v>
      </c>
      <c r="E46" s="16" t="s">
        <v>221</v>
      </c>
      <c r="F46" s="9" t="s">
        <v>17</v>
      </c>
      <c r="G46" s="9" t="s">
        <v>18</v>
      </c>
      <c r="H46" s="10">
        <v>2025</v>
      </c>
      <c r="I46" s="11">
        <v>9</v>
      </c>
    </row>
    <row r="47" spans="1:12">
      <c r="A47" s="11" t="s">
        <v>194</v>
      </c>
      <c r="D47" s="16">
        <v>43545616</v>
      </c>
      <c r="E47" s="16" t="s">
        <v>222</v>
      </c>
      <c r="F47" s="9" t="s">
        <v>17</v>
      </c>
      <c r="G47" s="9" t="s">
        <v>18</v>
      </c>
      <c r="H47" s="10">
        <v>2025</v>
      </c>
      <c r="I47" s="11">
        <v>9</v>
      </c>
    </row>
    <row r="48" spans="1:12">
      <c r="A48" s="11" t="s">
        <v>194</v>
      </c>
      <c r="D48" s="16">
        <v>43545617</v>
      </c>
      <c r="E48" s="16" t="s">
        <v>223</v>
      </c>
      <c r="F48" s="9" t="s">
        <v>17</v>
      </c>
      <c r="G48" s="9" t="s">
        <v>18</v>
      </c>
      <c r="H48" s="10">
        <v>2025</v>
      </c>
      <c r="I48" s="11">
        <v>9</v>
      </c>
    </row>
    <row r="49" spans="1:9">
      <c r="A49" s="11" t="s">
        <v>194</v>
      </c>
      <c r="D49" s="16">
        <v>43545619</v>
      </c>
      <c r="E49" s="16" t="s">
        <v>224</v>
      </c>
      <c r="F49" s="9" t="s">
        <v>17</v>
      </c>
      <c r="G49" s="9" t="s">
        <v>18</v>
      </c>
      <c r="H49" s="10">
        <v>2025</v>
      </c>
      <c r="I49" s="11">
        <v>9</v>
      </c>
    </row>
    <row r="50" spans="1:9">
      <c r="A50" s="11" t="s">
        <v>194</v>
      </c>
      <c r="D50" s="16">
        <v>43545628</v>
      </c>
      <c r="E50" s="16" t="s">
        <v>225</v>
      </c>
      <c r="F50" s="11" t="s">
        <v>52</v>
      </c>
      <c r="G50" s="9" t="s">
        <v>18</v>
      </c>
      <c r="H50" s="10">
        <v>2025</v>
      </c>
      <c r="I50" s="11">
        <v>9</v>
      </c>
    </row>
    <row r="51" spans="1:9">
      <c r="A51" s="11" t="s">
        <v>194</v>
      </c>
      <c r="D51" s="16">
        <v>43545629</v>
      </c>
      <c r="E51" s="16" t="s">
        <v>226</v>
      </c>
      <c r="F51" s="11" t="s">
        <v>52</v>
      </c>
      <c r="G51" s="9" t="s">
        <v>18</v>
      </c>
      <c r="H51" s="10">
        <v>2025</v>
      </c>
      <c r="I51" s="11">
        <v>9</v>
      </c>
    </row>
    <row r="52" spans="1:9">
      <c r="A52" s="11" t="s">
        <v>194</v>
      </c>
      <c r="D52" s="16">
        <v>43545630</v>
      </c>
      <c r="E52" s="16" t="s">
        <v>227</v>
      </c>
      <c r="F52" s="11" t="s">
        <v>52</v>
      </c>
      <c r="G52" s="9" t="s">
        <v>18</v>
      </c>
      <c r="H52" s="10">
        <v>2025</v>
      </c>
      <c r="I52" s="11">
        <v>9</v>
      </c>
    </row>
    <row r="53" spans="1:9">
      <c r="A53" s="11" t="s">
        <v>194</v>
      </c>
      <c r="D53" s="16">
        <v>43545620</v>
      </c>
      <c r="E53" s="16" t="s">
        <v>228</v>
      </c>
      <c r="F53" s="11" t="s">
        <v>17</v>
      </c>
      <c r="G53" s="9" t="s">
        <v>18</v>
      </c>
      <c r="H53" s="10">
        <v>2025</v>
      </c>
      <c r="I53" s="11">
        <v>10</v>
      </c>
    </row>
    <row r="54" spans="1:9">
      <c r="A54" s="11" t="s">
        <v>194</v>
      </c>
      <c r="D54" s="16">
        <v>43545621</v>
      </c>
      <c r="E54" s="16" t="s">
        <v>229</v>
      </c>
      <c r="F54" s="11" t="s">
        <v>17</v>
      </c>
      <c r="G54" s="9" t="s">
        <v>18</v>
      </c>
      <c r="H54" s="10">
        <v>2025</v>
      </c>
      <c r="I54" s="11">
        <v>10</v>
      </c>
    </row>
    <row r="55" spans="1:9">
      <c r="A55" s="11" t="s">
        <v>194</v>
      </c>
      <c r="D55" s="16">
        <v>43545622</v>
      </c>
      <c r="E55" s="16" t="s">
        <v>230</v>
      </c>
      <c r="F55" s="11" t="s">
        <v>17</v>
      </c>
      <c r="G55" s="9" t="s">
        <v>18</v>
      </c>
      <c r="H55" s="10">
        <v>2025</v>
      </c>
      <c r="I55" s="11">
        <v>10</v>
      </c>
    </row>
    <row r="56" spans="1:9">
      <c r="A56" s="11" t="s">
        <v>194</v>
      </c>
      <c r="D56" s="16">
        <v>43545623</v>
      </c>
      <c r="E56" s="16" t="s">
        <v>231</v>
      </c>
      <c r="F56" s="11" t="s">
        <v>17</v>
      </c>
      <c r="G56" s="9" t="s">
        <v>18</v>
      </c>
      <c r="H56" s="10">
        <v>2025</v>
      </c>
      <c r="I56" s="11">
        <v>10</v>
      </c>
    </row>
    <row r="57" spans="1:9">
      <c r="A57" s="11" t="s">
        <v>194</v>
      </c>
      <c r="D57" s="16">
        <v>43545624</v>
      </c>
      <c r="E57" s="16" t="s">
        <v>232</v>
      </c>
      <c r="F57" s="11" t="s">
        <v>17</v>
      </c>
      <c r="G57" s="9" t="s">
        <v>18</v>
      </c>
      <c r="H57" s="10">
        <v>2025</v>
      </c>
      <c r="I57" s="11">
        <v>10</v>
      </c>
    </row>
    <row r="58" spans="1:9">
      <c r="A58" s="11" t="s">
        <v>194</v>
      </c>
      <c r="D58" s="16">
        <v>43545631</v>
      </c>
      <c r="E58" s="16" t="s">
        <v>233</v>
      </c>
      <c r="F58" s="11" t="s">
        <v>52</v>
      </c>
      <c r="G58" s="9" t="s">
        <v>18</v>
      </c>
      <c r="H58" s="10">
        <v>2025</v>
      </c>
      <c r="I58" s="11">
        <v>10</v>
      </c>
    </row>
    <row r="59" spans="1:9">
      <c r="A59" s="11" t="s">
        <v>194</v>
      </c>
      <c r="D59" s="16">
        <v>43545632</v>
      </c>
      <c r="E59" s="16" t="s">
        <v>234</v>
      </c>
      <c r="F59" s="11" t="s">
        <v>52</v>
      </c>
      <c r="G59" s="9" t="s">
        <v>18</v>
      </c>
      <c r="H59" s="10">
        <v>2025</v>
      </c>
      <c r="I59" s="11">
        <v>10</v>
      </c>
    </row>
    <row r="60" spans="1:9">
      <c r="A60" s="11" t="s">
        <v>194</v>
      </c>
      <c r="D60" s="16">
        <v>43545633</v>
      </c>
      <c r="E60" s="16" t="s">
        <v>235</v>
      </c>
      <c r="F60" s="11" t="s">
        <v>52</v>
      </c>
      <c r="G60" s="9" t="s">
        <v>18</v>
      </c>
      <c r="H60" s="10">
        <v>2025</v>
      </c>
      <c r="I60" s="11">
        <v>10</v>
      </c>
    </row>
    <row r="61" spans="1:9">
      <c r="A61" s="11" t="s">
        <v>194</v>
      </c>
      <c r="D61" s="16">
        <v>43540537</v>
      </c>
      <c r="E61" s="16" t="s">
        <v>236</v>
      </c>
      <c r="F61" s="11" t="s">
        <v>17</v>
      </c>
      <c r="G61" s="9" t="s">
        <v>18</v>
      </c>
      <c r="H61" s="10">
        <v>2025</v>
      </c>
      <c r="I61" s="11">
        <v>10</v>
      </c>
    </row>
    <row r="62" spans="1:9">
      <c r="A62" s="11" t="s">
        <v>194</v>
      </c>
      <c r="D62" s="16">
        <v>43540538</v>
      </c>
      <c r="E62" s="16" t="s">
        <v>237</v>
      </c>
      <c r="F62" s="11" t="s">
        <v>17</v>
      </c>
      <c r="G62" s="9" t="s">
        <v>18</v>
      </c>
      <c r="H62" s="10">
        <v>2025</v>
      </c>
      <c r="I62" s="11">
        <v>10</v>
      </c>
    </row>
    <row r="63" spans="1:9">
      <c r="A63" s="11" t="s">
        <v>194</v>
      </c>
      <c r="D63" s="16">
        <v>43540539</v>
      </c>
      <c r="E63" s="16" t="s">
        <v>238</v>
      </c>
      <c r="F63" s="11" t="s">
        <v>17</v>
      </c>
      <c r="G63" s="9" t="s">
        <v>18</v>
      </c>
      <c r="H63" s="10">
        <v>2025</v>
      </c>
      <c r="I63" s="11">
        <v>10</v>
      </c>
    </row>
    <row r="64" spans="1:9">
      <c r="A64" s="11" t="s">
        <v>194</v>
      </c>
      <c r="D64" s="16">
        <v>43540540</v>
      </c>
      <c r="E64" s="16" t="s">
        <v>239</v>
      </c>
      <c r="F64" s="11" t="s">
        <v>17</v>
      </c>
      <c r="G64" s="9" t="s">
        <v>18</v>
      </c>
      <c r="H64" s="10">
        <v>2025</v>
      </c>
      <c r="I64" s="11">
        <v>10</v>
      </c>
    </row>
    <row r="65" spans="1:9">
      <c r="A65" s="11" t="s">
        <v>194</v>
      </c>
      <c r="D65" s="16">
        <v>43542240</v>
      </c>
      <c r="E65" s="16" t="s">
        <v>240</v>
      </c>
      <c r="F65" s="11" t="s">
        <v>52</v>
      </c>
      <c r="G65" s="9" t="s">
        <v>18</v>
      </c>
      <c r="H65" s="10">
        <v>2025</v>
      </c>
      <c r="I65" s="11">
        <v>10</v>
      </c>
    </row>
    <row r="66" spans="1:9">
      <c r="A66" s="11" t="s">
        <v>194</v>
      </c>
      <c r="D66" s="16">
        <v>43542241</v>
      </c>
      <c r="E66" s="16" t="s">
        <v>241</v>
      </c>
      <c r="F66" s="11" t="s">
        <v>52</v>
      </c>
      <c r="G66" s="9" t="s">
        <v>18</v>
      </c>
      <c r="H66" s="10">
        <v>2025</v>
      </c>
      <c r="I66" s="11">
        <v>10</v>
      </c>
    </row>
    <row r="67" spans="1:9">
      <c r="A67" s="11" t="s">
        <v>194</v>
      </c>
      <c r="D67" s="17">
        <v>43542242</v>
      </c>
      <c r="E67" s="17" t="s">
        <v>242</v>
      </c>
      <c r="F67" s="11" t="s">
        <v>52</v>
      </c>
      <c r="G67" s="9" t="s">
        <v>18</v>
      </c>
      <c r="H67" s="10">
        <v>2025</v>
      </c>
      <c r="I67" s="11">
        <v>10</v>
      </c>
    </row>
    <row r="68" spans="1:9">
      <c r="A68" s="11" t="s">
        <v>194</v>
      </c>
      <c r="D68" s="18">
        <v>43534963</v>
      </c>
      <c r="E68" s="19" t="s">
        <v>243</v>
      </c>
      <c r="F68" s="11" t="s">
        <v>52</v>
      </c>
      <c r="G68" s="9" t="s">
        <v>18</v>
      </c>
      <c r="H68" s="10">
        <v>2025</v>
      </c>
      <c r="I68" s="11">
        <v>10</v>
      </c>
    </row>
    <row r="69" spans="1:9">
      <c r="A69" s="11" t="s">
        <v>194</v>
      </c>
      <c r="D69" s="20">
        <v>43534964</v>
      </c>
      <c r="E69" s="21" t="s">
        <v>244</v>
      </c>
      <c r="F69" s="11" t="s">
        <v>52</v>
      </c>
      <c r="G69" s="9" t="s">
        <v>18</v>
      </c>
      <c r="H69" s="10">
        <v>2025</v>
      </c>
      <c r="I69" s="11">
        <v>10</v>
      </c>
    </row>
    <row r="70" spans="1:9">
      <c r="A70" s="11" t="s">
        <v>194</v>
      </c>
      <c r="D70" s="20">
        <v>43534965</v>
      </c>
      <c r="E70" s="22" t="s">
        <v>245</v>
      </c>
      <c r="F70" s="11" t="s">
        <v>52</v>
      </c>
      <c r="G70" s="9" t="s">
        <v>18</v>
      </c>
      <c r="H70" s="10">
        <v>2025</v>
      </c>
      <c r="I70" s="11">
        <v>10</v>
      </c>
    </row>
    <row r="71" spans="1:9">
      <c r="A71" s="11" t="s">
        <v>194</v>
      </c>
      <c r="D71" s="20">
        <v>43534966</v>
      </c>
      <c r="E71" s="22" t="s">
        <v>246</v>
      </c>
      <c r="F71" s="11" t="s">
        <v>52</v>
      </c>
      <c r="G71" s="9" t="s">
        <v>18</v>
      </c>
      <c r="H71" s="10">
        <v>2025</v>
      </c>
      <c r="I71" s="11">
        <v>10</v>
      </c>
    </row>
    <row r="72" spans="1:9">
      <c r="A72" s="11" t="s">
        <v>194</v>
      </c>
      <c r="D72" s="20">
        <v>43534967</v>
      </c>
      <c r="E72" s="22" t="s">
        <v>247</v>
      </c>
      <c r="F72" s="11" t="s">
        <v>52</v>
      </c>
      <c r="G72" s="9" t="s">
        <v>18</v>
      </c>
      <c r="H72" s="10">
        <v>2025</v>
      </c>
      <c r="I72" s="11">
        <v>10</v>
      </c>
    </row>
    <row r="73" spans="1:9">
      <c r="A73" s="11" t="s">
        <v>194</v>
      </c>
      <c r="D73" s="20">
        <v>43534968</v>
      </c>
      <c r="E73" s="22" t="s">
        <v>248</v>
      </c>
      <c r="F73" s="11" t="s">
        <v>52</v>
      </c>
      <c r="G73" s="9" t="s">
        <v>18</v>
      </c>
      <c r="H73" s="10">
        <v>2025</v>
      </c>
      <c r="I73" s="11">
        <v>10</v>
      </c>
    </row>
    <row r="74" spans="1:9">
      <c r="A74" s="11" t="s">
        <v>168</v>
      </c>
      <c r="D74" s="23">
        <v>43530242</v>
      </c>
      <c r="E74" s="24" t="s">
        <v>171</v>
      </c>
      <c r="F74" s="11" t="s">
        <v>172</v>
      </c>
      <c r="G74" s="9" t="s">
        <v>18</v>
      </c>
      <c r="H74" s="10">
        <v>2025</v>
      </c>
      <c r="I74" s="11">
        <v>11</v>
      </c>
    </row>
    <row r="75" spans="1:9">
      <c r="A75" s="11" t="s">
        <v>168</v>
      </c>
      <c r="D75" s="18">
        <v>43530243</v>
      </c>
      <c r="E75" s="25" t="s">
        <v>173</v>
      </c>
      <c r="F75" s="11" t="s">
        <v>172</v>
      </c>
      <c r="G75" s="9" t="s">
        <v>18</v>
      </c>
      <c r="H75" s="10">
        <v>2025</v>
      </c>
      <c r="I75" s="11">
        <v>11</v>
      </c>
    </row>
    <row r="76" spans="1:9">
      <c r="A76" s="11" t="s">
        <v>168</v>
      </c>
      <c r="D76" s="20">
        <v>43530244</v>
      </c>
      <c r="E76" s="22" t="s">
        <v>174</v>
      </c>
      <c r="F76" s="11" t="s">
        <v>172</v>
      </c>
      <c r="G76" s="9" t="s">
        <v>18</v>
      </c>
      <c r="H76" s="10">
        <v>2025</v>
      </c>
      <c r="I76" s="11">
        <v>11</v>
      </c>
    </row>
    <row r="77" spans="1:9">
      <c r="A77" s="11" t="s">
        <v>168</v>
      </c>
      <c r="D77" s="20">
        <v>43530245</v>
      </c>
      <c r="E77" s="22" t="s">
        <v>177</v>
      </c>
      <c r="F77" s="11" t="s">
        <v>172</v>
      </c>
      <c r="G77" s="9" t="s">
        <v>18</v>
      </c>
      <c r="H77" s="10">
        <v>2025</v>
      </c>
      <c r="I77" s="11">
        <v>11</v>
      </c>
    </row>
    <row r="78" spans="1:9">
      <c r="A78" s="11" t="s">
        <v>168</v>
      </c>
      <c r="D78" s="20">
        <v>43530246</v>
      </c>
      <c r="E78" s="22" t="s">
        <v>178</v>
      </c>
      <c r="F78" s="11" t="s">
        <v>172</v>
      </c>
      <c r="G78" s="9" t="s">
        <v>18</v>
      </c>
      <c r="H78" s="10">
        <v>2025</v>
      </c>
      <c r="I78" s="11">
        <v>11</v>
      </c>
    </row>
    <row r="79" spans="1:9">
      <c r="A79" s="11" t="s">
        <v>168</v>
      </c>
      <c r="D79" s="20">
        <v>43530247</v>
      </c>
      <c r="E79" s="22" t="s">
        <v>181</v>
      </c>
      <c r="F79" s="11" t="s">
        <v>172</v>
      </c>
      <c r="G79" s="9" t="s">
        <v>18</v>
      </c>
      <c r="H79" s="10">
        <v>2025</v>
      </c>
      <c r="I79" s="11">
        <v>11</v>
      </c>
    </row>
    <row r="80" spans="1:9">
      <c r="A80" s="11" t="s">
        <v>168</v>
      </c>
      <c r="D80" s="20">
        <v>43530248</v>
      </c>
      <c r="E80" s="22" t="s">
        <v>182</v>
      </c>
      <c r="F80" s="11" t="s">
        <v>172</v>
      </c>
      <c r="G80" s="9" t="s">
        <v>18</v>
      </c>
      <c r="H80" s="10">
        <v>2025</v>
      </c>
      <c r="I80" s="11">
        <v>11</v>
      </c>
    </row>
    <row r="81" spans="1:9">
      <c r="A81" s="11" t="s">
        <v>168</v>
      </c>
      <c r="D81" s="20">
        <v>43530249</v>
      </c>
      <c r="E81" s="22" t="s">
        <v>183</v>
      </c>
      <c r="F81" s="11" t="s">
        <v>172</v>
      </c>
      <c r="G81" s="9" t="s">
        <v>18</v>
      </c>
      <c r="H81" s="10">
        <v>2025</v>
      </c>
      <c r="I81" s="11">
        <v>11</v>
      </c>
    </row>
    <row r="82" spans="1:9">
      <c r="A82" s="11" t="s">
        <v>168</v>
      </c>
      <c r="D82" s="20">
        <v>43530250</v>
      </c>
      <c r="E82" s="22" t="s">
        <v>184</v>
      </c>
      <c r="F82" s="11" t="s">
        <v>172</v>
      </c>
      <c r="G82" s="9" t="s">
        <v>18</v>
      </c>
      <c r="H82" s="10">
        <v>2025</v>
      </c>
      <c r="I82" s="11">
        <v>11</v>
      </c>
    </row>
    <row r="83" spans="1:9">
      <c r="A83" s="11" t="s">
        <v>168</v>
      </c>
      <c r="D83" s="20">
        <v>43530251</v>
      </c>
      <c r="E83" s="22" t="s">
        <v>186</v>
      </c>
      <c r="F83" s="11" t="s">
        <v>172</v>
      </c>
      <c r="G83" s="9" t="s">
        <v>18</v>
      </c>
      <c r="H83" s="10">
        <v>2025</v>
      </c>
      <c r="I83" s="11">
        <v>11</v>
      </c>
    </row>
    <row r="84" spans="1:9">
      <c r="A84" s="11" t="s">
        <v>194</v>
      </c>
      <c r="D84" s="20">
        <v>43553620</v>
      </c>
      <c r="E84" s="22" t="s">
        <v>197</v>
      </c>
      <c r="F84" s="11" t="s">
        <v>17</v>
      </c>
      <c r="G84" s="9" t="s">
        <v>18</v>
      </c>
      <c r="H84" s="10">
        <v>2025</v>
      </c>
      <c r="I84" s="11">
        <v>10</v>
      </c>
    </row>
    <row r="85" spans="1:9">
      <c r="A85" s="11" t="s">
        <v>194</v>
      </c>
      <c r="D85" s="20">
        <v>43553621</v>
      </c>
      <c r="E85" s="22" t="s">
        <v>198</v>
      </c>
      <c r="F85" s="11" t="s">
        <v>17</v>
      </c>
      <c r="G85" s="9" t="s">
        <v>18</v>
      </c>
      <c r="H85" s="10">
        <v>2025</v>
      </c>
      <c r="I85" s="11">
        <v>10</v>
      </c>
    </row>
    <row r="86" spans="1:9">
      <c r="A86" s="11" t="s">
        <v>194</v>
      </c>
      <c r="D86" s="20">
        <v>43553112</v>
      </c>
      <c r="E86" s="22" t="s">
        <v>249</v>
      </c>
      <c r="F86" s="11" t="s">
        <v>17</v>
      </c>
      <c r="G86" s="11" t="s">
        <v>159</v>
      </c>
      <c r="H86" s="10">
        <v>2025</v>
      </c>
      <c r="I86" s="11">
        <v>12</v>
      </c>
    </row>
    <row r="87" spans="1:9">
      <c r="A87" s="11" t="s">
        <v>194</v>
      </c>
      <c r="D87" s="20">
        <v>43553113</v>
      </c>
      <c r="E87" s="22" t="s">
        <v>250</v>
      </c>
      <c r="F87" s="11" t="s">
        <v>17</v>
      </c>
      <c r="G87" s="11" t="s">
        <v>159</v>
      </c>
      <c r="H87" s="10">
        <v>2025</v>
      </c>
      <c r="I87" s="11">
        <v>12</v>
      </c>
    </row>
    <row r="88" spans="1:9">
      <c r="A88" s="11" t="s">
        <v>194</v>
      </c>
      <c r="D88" s="20">
        <v>43553114</v>
      </c>
      <c r="E88" s="22" t="s">
        <v>207</v>
      </c>
      <c r="F88" s="11" t="s">
        <v>52</v>
      </c>
      <c r="G88" s="11" t="s">
        <v>159</v>
      </c>
      <c r="H88" s="10">
        <v>2025</v>
      </c>
      <c r="I88" s="11">
        <v>12</v>
      </c>
    </row>
    <row r="89" spans="1:9">
      <c r="A89" s="11" t="s">
        <v>194</v>
      </c>
      <c r="D89" s="20">
        <v>43553115</v>
      </c>
      <c r="E89" s="22" t="s">
        <v>208</v>
      </c>
      <c r="F89" s="11" t="s">
        <v>52</v>
      </c>
      <c r="G89" s="11" t="s">
        <v>159</v>
      </c>
      <c r="H89" s="10">
        <v>2025</v>
      </c>
      <c r="I89" s="11">
        <v>12</v>
      </c>
    </row>
  </sheetData>
  <autoFilter ref="A2:L89" xr:uid="{920B4C8B-32E8-4646-A638-0BFB1E75642A}"/>
  <conditionalFormatting sqref="D2">
    <cfRule type="duplicateValues" dxfId="44" priority="16"/>
    <cfRule type="duplicateValues" dxfId="43" priority="17"/>
    <cfRule type="duplicateValues" dxfId="42" priority="18"/>
  </conditionalFormatting>
  <conditionalFormatting sqref="E3:E38">
    <cfRule type="duplicateValues" dxfId="41" priority="13"/>
    <cfRule type="duplicateValues" dxfId="40" priority="14"/>
    <cfRule type="duplicateValues" dxfId="39" priority="15"/>
  </conditionalFormatting>
  <dataValidations count="1">
    <dataValidation allowBlank="1" showInputMessage="1" showErrorMessage="1" promptTitle="Datos Obligatorios" prompt="Debe ingresar valor/texto" sqref="A3:A8 A11 A16:A30 A35:A36 F26" xr:uid="{1DCC01A6-F53F-4063-BD30-109828FC190E}"/>
  </dataValidation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6F13A-956D-4E60-B9C2-43827C3D3C2A}">
  <dimension ref="A1:A119"/>
  <sheetViews>
    <sheetView workbookViewId="0"/>
  </sheetViews>
  <sheetFormatPr defaultColWidth="11.42578125" defaultRowHeight="14.45"/>
  <cols>
    <col min="1" max="1" width="21.5703125" style="5" bestFit="1" customWidth="1"/>
  </cols>
  <sheetData>
    <row r="1" spans="1:1">
      <c r="A1" s="1" t="s">
        <v>143</v>
      </c>
    </row>
    <row r="2" spans="1:1">
      <c r="A2" s="3">
        <v>43556929</v>
      </c>
    </row>
    <row r="3" spans="1:1">
      <c r="A3" s="3">
        <v>43556930</v>
      </c>
    </row>
    <row r="4" spans="1:1">
      <c r="A4" s="3">
        <v>43556931</v>
      </c>
    </row>
    <row r="5" spans="1:1">
      <c r="A5" s="3">
        <v>43556932</v>
      </c>
    </row>
    <row r="6" spans="1:1">
      <c r="A6" s="3">
        <v>43556423</v>
      </c>
    </row>
    <row r="7" spans="1:1">
      <c r="A7" s="3">
        <v>43556933</v>
      </c>
    </row>
    <row r="8" spans="1:1">
      <c r="A8" s="3">
        <v>43556934</v>
      </c>
    </row>
    <row r="9" spans="1:1">
      <c r="A9" s="3">
        <v>43556424</v>
      </c>
    </row>
    <row r="10" spans="1:1">
      <c r="A10" s="3">
        <v>43556425</v>
      </c>
    </row>
    <row r="11" spans="1:1">
      <c r="A11" s="3">
        <v>43556935</v>
      </c>
    </row>
    <row r="12" spans="1:1">
      <c r="A12" s="3">
        <v>43556426</v>
      </c>
    </row>
    <row r="13" spans="1:1">
      <c r="A13" s="4">
        <v>40663586</v>
      </c>
    </row>
    <row r="14" spans="1:1">
      <c r="A14" s="2">
        <v>43545609</v>
      </c>
    </row>
    <row r="15" spans="1:1">
      <c r="A15" s="3">
        <v>43556984</v>
      </c>
    </row>
    <row r="16" spans="1:1">
      <c r="A16" s="3">
        <v>43556985</v>
      </c>
    </row>
    <row r="17" spans="1:1">
      <c r="A17" s="3">
        <v>43556986</v>
      </c>
    </row>
    <row r="18" spans="1:1">
      <c r="A18" s="3">
        <v>43556987</v>
      </c>
    </row>
    <row r="19" spans="1:1">
      <c r="A19" s="3">
        <v>43556988</v>
      </c>
    </row>
    <row r="20" spans="1:1">
      <c r="A20" s="3">
        <v>43556989</v>
      </c>
    </row>
    <row r="21" spans="1:1">
      <c r="A21" s="3">
        <v>43568169</v>
      </c>
    </row>
    <row r="22" spans="1:1">
      <c r="A22" s="3">
        <v>43568170</v>
      </c>
    </row>
    <row r="23" spans="1:1">
      <c r="A23" s="3">
        <v>43568171</v>
      </c>
    </row>
    <row r="24" spans="1:1">
      <c r="A24" s="3">
        <v>43568172</v>
      </c>
    </row>
    <row r="25" spans="1:1">
      <c r="A25" s="3">
        <v>43568167</v>
      </c>
    </row>
    <row r="26" spans="1:1">
      <c r="A26" s="3">
        <v>43568168</v>
      </c>
    </row>
    <row r="27" spans="1:1">
      <c r="A27" s="3">
        <v>43544933</v>
      </c>
    </row>
    <row r="28" spans="1:1">
      <c r="A28" s="3">
        <v>43388032</v>
      </c>
    </row>
    <row r="29" spans="1:1">
      <c r="A29" s="3">
        <v>43550407</v>
      </c>
    </row>
    <row r="30" spans="1:1">
      <c r="A30" s="3">
        <v>43211267</v>
      </c>
    </row>
    <row r="31" spans="1:1">
      <c r="A31" s="3">
        <v>42945531</v>
      </c>
    </row>
    <row r="32" spans="1:1">
      <c r="A32" s="3">
        <v>43007481</v>
      </c>
    </row>
    <row r="33" spans="1:1">
      <c r="A33" s="3">
        <v>43548348</v>
      </c>
    </row>
    <row r="34" spans="1:1">
      <c r="A34" s="2">
        <v>43556011</v>
      </c>
    </row>
    <row r="35" spans="1:1">
      <c r="A35" s="2">
        <v>43556013</v>
      </c>
    </row>
    <row r="36" spans="1:1">
      <c r="A36" s="2">
        <v>43556012</v>
      </c>
    </row>
    <row r="37" spans="1:1">
      <c r="A37" s="3">
        <v>43367664</v>
      </c>
    </row>
    <row r="38" spans="1:1">
      <c r="A38" s="2">
        <v>43482486</v>
      </c>
    </row>
    <row r="39" spans="1:1">
      <c r="A39" s="4">
        <v>43482487</v>
      </c>
    </row>
    <row r="40" spans="1:1">
      <c r="A40" s="2">
        <v>43518993</v>
      </c>
    </row>
    <row r="41" spans="1:1">
      <c r="A41" s="2">
        <v>43518995</v>
      </c>
    </row>
    <row r="42" spans="1:1">
      <c r="A42" s="2">
        <v>43518996</v>
      </c>
    </row>
    <row r="43" spans="1:1">
      <c r="A43" s="2">
        <v>43518994</v>
      </c>
    </row>
    <row r="44" spans="1:1">
      <c r="A44" s="2">
        <v>41674295</v>
      </c>
    </row>
    <row r="45" spans="1:1">
      <c r="A45" s="2">
        <v>41290445</v>
      </c>
    </row>
    <row r="46" spans="1:1">
      <c r="A46" s="2">
        <v>43157900</v>
      </c>
    </row>
    <row r="47" spans="1:1">
      <c r="A47" s="2">
        <v>43157901</v>
      </c>
    </row>
    <row r="48" spans="1:1">
      <c r="A48" s="4">
        <v>43488244</v>
      </c>
    </row>
    <row r="49" spans="1:1">
      <c r="A49" s="4">
        <v>43497474</v>
      </c>
    </row>
    <row r="50" spans="1:1">
      <c r="A50" s="4">
        <v>43497473</v>
      </c>
    </row>
    <row r="51" spans="1:1">
      <c r="A51" s="3">
        <v>43488257</v>
      </c>
    </row>
    <row r="52" spans="1:1">
      <c r="A52" s="3">
        <v>43488255</v>
      </c>
    </row>
    <row r="53" spans="1:1">
      <c r="A53" s="3">
        <v>43488256</v>
      </c>
    </row>
    <row r="54" spans="1:1">
      <c r="A54" s="3">
        <v>43488254</v>
      </c>
    </row>
    <row r="55" spans="1:1">
      <c r="A55" s="3">
        <v>43488253</v>
      </c>
    </row>
    <row r="56" spans="1:1">
      <c r="A56" s="3">
        <v>43433859</v>
      </c>
    </row>
    <row r="57" spans="1:1">
      <c r="A57" s="3">
        <v>43433860</v>
      </c>
    </row>
    <row r="58" spans="1:1">
      <c r="A58" s="3">
        <v>43433861</v>
      </c>
    </row>
    <row r="59" spans="1:1">
      <c r="A59" s="3">
        <v>43433862</v>
      </c>
    </row>
    <row r="60" spans="1:1">
      <c r="A60" s="3">
        <v>43433863</v>
      </c>
    </row>
    <row r="61" spans="1:1">
      <c r="A61" s="3">
        <v>43433864</v>
      </c>
    </row>
    <row r="62" spans="1:1">
      <c r="A62" s="3">
        <v>43491516</v>
      </c>
    </row>
    <row r="63" spans="1:1">
      <c r="A63" s="3">
        <v>43491517</v>
      </c>
    </row>
    <row r="64" spans="1:1">
      <c r="A64" s="3">
        <v>43491518</v>
      </c>
    </row>
    <row r="65" spans="1:1">
      <c r="A65" s="3">
        <v>43491519</v>
      </c>
    </row>
    <row r="66" spans="1:1">
      <c r="A66" s="3">
        <v>43488242</v>
      </c>
    </row>
    <row r="67" spans="1:1">
      <c r="A67" s="2">
        <v>43534957</v>
      </c>
    </row>
    <row r="68" spans="1:1">
      <c r="A68" s="2">
        <v>43534958</v>
      </c>
    </row>
    <row r="69" spans="1:1">
      <c r="A69" s="2">
        <v>43534960</v>
      </c>
    </row>
    <row r="70" spans="1:1">
      <c r="A70" s="2">
        <v>43534961</v>
      </c>
    </row>
    <row r="71" spans="1:1">
      <c r="A71" s="2">
        <v>43534959</v>
      </c>
    </row>
    <row r="72" spans="1:1">
      <c r="A72" s="2">
        <v>43534962</v>
      </c>
    </row>
    <row r="73" spans="1:1">
      <c r="A73" s="3">
        <v>43211261</v>
      </c>
    </row>
    <row r="74" spans="1:1">
      <c r="A74" s="3">
        <v>43492641</v>
      </c>
    </row>
    <row r="75" spans="1:1">
      <c r="A75" s="3">
        <v>43492642</v>
      </c>
    </row>
    <row r="76" spans="1:1">
      <c r="A76" s="3">
        <v>43491574</v>
      </c>
    </row>
    <row r="77" spans="1:1">
      <c r="A77" s="3">
        <v>43491573</v>
      </c>
    </row>
    <row r="78" spans="1:1">
      <c r="A78" s="3">
        <v>43491572</v>
      </c>
    </row>
    <row r="79" spans="1:1">
      <c r="A79" s="3">
        <v>43492643</v>
      </c>
    </row>
    <row r="80" spans="1:1">
      <c r="A80" s="4">
        <v>43397044</v>
      </c>
    </row>
    <row r="81" spans="1:1">
      <c r="A81" s="4">
        <v>43315244</v>
      </c>
    </row>
    <row r="82" spans="1:1">
      <c r="A82" s="2">
        <v>43545620</v>
      </c>
    </row>
    <row r="83" spans="1:1">
      <c r="A83" s="2">
        <v>43545621</v>
      </c>
    </row>
    <row r="84" spans="1:1">
      <c r="A84" s="2">
        <v>43545622</v>
      </c>
    </row>
    <row r="85" spans="1:1">
      <c r="A85" s="2">
        <v>43545623</v>
      </c>
    </row>
    <row r="86" spans="1:1">
      <c r="A86" s="2">
        <v>43545624</v>
      </c>
    </row>
    <row r="87" spans="1:1">
      <c r="A87" s="2">
        <v>43545631</v>
      </c>
    </row>
    <row r="88" spans="1:1">
      <c r="A88" s="2">
        <v>43545632</v>
      </c>
    </row>
    <row r="89" spans="1:1">
      <c r="A89" s="2">
        <v>43545633</v>
      </c>
    </row>
    <row r="90" spans="1:1">
      <c r="A90" s="2">
        <v>43545610</v>
      </c>
    </row>
    <row r="91" spans="1:1">
      <c r="A91" s="2">
        <v>43545611</v>
      </c>
    </row>
    <row r="92" spans="1:1">
      <c r="A92" s="2">
        <v>43545612</v>
      </c>
    </row>
    <row r="93" spans="1:1">
      <c r="A93" s="2">
        <v>43545614</v>
      </c>
    </row>
    <row r="94" spans="1:1">
      <c r="A94" s="2">
        <v>43545625</v>
      </c>
    </row>
    <row r="95" spans="1:1">
      <c r="A95" s="2">
        <v>43545626</v>
      </c>
    </row>
    <row r="96" spans="1:1">
      <c r="A96" s="2">
        <v>43545627</v>
      </c>
    </row>
    <row r="97" spans="1:1">
      <c r="A97" s="2">
        <v>43545615</v>
      </c>
    </row>
    <row r="98" spans="1:1">
      <c r="A98" s="2">
        <v>43545616</v>
      </c>
    </row>
    <row r="99" spans="1:1">
      <c r="A99" s="2">
        <v>43545617</v>
      </c>
    </row>
    <row r="100" spans="1:1">
      <c r="A100" s="2">
        <v>43545619</v>
      </c>
    </row>
    <row r="101" spans="1:1">
      <c r="A101" s="2">
        <v>43545628</v>
      </c>
    </row>
    <row r="102" spans="1:1">
      <c r="A102" s="2">
        <v>43545629</v>
      </c>
    </row>
    <row r="103" spans="1:1">
      <c r="A103" s="2">
        <v>43545630</v>
      </c>
    </row>
    <row r="104" spans="1:1">
      <c r="A104" s="2">
        <v>43540537</v>
      </c>
    </row>
    <row r="105" spans="1:1">
      <c r="A105" s="2">
        <v>43540538</v>
      </c>
    </row>
    <row r="106" spans="1:1">
      <c r="A106" s="2">
        <v>43540539</v>
      </c>
    </row>
    <row r="107" spans="1:1">
      <c r="A107" s="2">
        <v>43540540</v>
      </c>
    </row>
    <row r="108" spans="1:1">
      <c r="A108" s="2">
        <v>43542240</v>
      </c>
    </row>
    <row r="109" spans="1:1">
      <c r="A109" s="2">
        <v>43542241</v>
      </c>
    </row>
    <row r="110" spans="1:1">
      <c r="A110" s="2">
        <v>43542242</v>
      </c>
    </row>
    <row r="111" spans="1:1">
      <c r="A111" s="3">
        <v>43280447</v>
      </c>
    </row>
    <row r="112" spans="1:1">
      <c r="A112" s="3">
        <v>43280448</v>
      </c>
    </row>
    <row r="113" spans="1:1">
      <c r="A113" s="2">
        <v>43534963</v>
      </c>
    </row>
    <row r="114" spans="1:1">
      <c r="A114" s="2">
        <v>43534964</v>
      </c>
    </row>
    <row r="115" spans="1:1">
      <c r="A115" s="2">
        <v>43534965</v>
      </c>
    </row>
    <row r="116" spans="1:1">
      <c r="A116" s="2">
        <v>43534966</v>
      </c>
    </row>
    <row r="117" spans="1:1">
      <c r="A117" s="2">
        <v>43534967</v>
      </c>
    </row>
    <row r="118" spans="1:1">
      <c r="A118" s="2">
        <v>43534968</v>
      </c>
    </row>
    <row r="119" spans="1:1">
      <c r="A119" s="2">
        <v>43534969</v>
      </c>
    </row>
  </sheetData>
  <conditionalFormatting sqref="A1 A69:A70 A88 A90:A97 A99:A101">
    <cfRule type="duplicateValues" dxfId="38" priority="32"/>
  </conditionalFormatting>
  <conditionalFormatting sqref="A1">
    <cfRule type="duplicateValues" dxfId="37" priority="33"/>
    <cfRule type="duplicateValues" dxfId="36" priority="34"/>
  </conditionalFormatting>
  <conditionalFormatting sqref="A12">
    <cfRule type="duplicateValues" dxfId="35" priority="31"/>
    <cfRule type="duplicateValues" dxfId="34" priority="30"/>
    <cfRule type="duplicateValues" dxfId="33" priority="29"/>
  </conditionalFormatting>
  <conditionalFormatting sqref="A13:A18">
    <cfRule type="duplicateValues" dxfId="32" priority="35"/>
    <cfRule type="duplicateValues" dxfId="31" priority="36"/>
    <cfRule type="duplicateValues" dxfId="30" priority="37"/>
  </conditionalFormatting>
  <conditionalFormatting sqref="A30:A32">
    <cfRule type="duplicateValues" dxfId="29" priority="4"/>
    <cfRule type="duplicateValues" dxfId="28" priority="5"/>
    <cfRule type="duplicateValues" dxfId="27" priority="6"/>
  </conditionalFormatting>
  <conditionalFormatting sqref="A69:A70">
    <cfRule type="duplicateValues" dxfId="26" priority="28"/>
    <cfRule type="duplicateValues" dxfId="25" priority="27"/>
  </conditionalFormatting>
  <conditionalFormatting sqref="A71:A77">
    <cfRule type="duplicateValues" dxfId="24" priority="26"/>
    <cfRule type="duplicateValues" dxfId="23" priority="25"/>
    <cfRule type="duplicateValues" dxfId="22" priority="24"/>
  </conditionalFormatting>
  <conditionalFormatting sqref="A81:A83">
    <cfRule type="duplicateValues" dxfId="21" priority="1"/>
    <cfRule type="duplicateValues" dxfId="20" priority="2"/>
    <cfRule type="duplicateValues" dxfId="19" priority="3"/>
  </conditionalFormatting>
  <conditionalFormatting sqref="A84:A85">
    <cfRule type="duplicateValues" dxfId="18" priority="23"/>
    <cfRule type="duplicateValues" dxfId="17" priority="22"/>
    <cfRule type="duplicateValues" dxfId="16" priority="21"/>
  </conditionalFormatting>
  <conditionalFormatting sqref="A88">
    <cfRule type="duplicateValues" dxfId="15" priority="39"/>
    <cfRule type="duplicateValues" dxfId="14" priority="38"/>
  </conditionalFormatting>
  <conditionalFormatting sqref="A89">
    <cfRule type="duplicateValues" dxfId="13" priority="19"/>
    <cfRule type="duplicateValues" dxfId="12" priority="18"/>
    <cfRule type="duplicateValues" dxfId="11" priority="20"/>
  </conditionalFormatting>
  <conditionalFormatting sqref="A90:A97 A99:A101">
    <cfRule type="duplicateValues" dxfId="10" priority="17"/>
    <cfRule type="duplicateValues" dxfId="9" priority="16"/>
  </conditionalFormatting>
  <conditionalFormatting sqref="A98">
    <cfRule type="duplicateValues" dxfId="8" priority="14"/>
    <cfRule type="duplicateValues" dxfId="7" priority="13"/>
    <cfRule type="duplicateValues" dxfId="6" priority="15"/>
  </conditionalFormatting>
  <conditionalFormatting sqref="A107">
    <cfRule type="duplicateValues" dxfId="5" priority="12"/>
    <cfRule type="duplicateValues" dxfId="4" priority="11"/>
    <cfRule type="duplicateValues" dxfId="3" priority="10"/>
  </conditionalFormatting>
  <conditionalFormatting sqref="A109:A112">
    <cfRule type="duplicateValues" dxfId="2" priority="9"/>
    <cfRule type="duplicateValues" dxfId="1" priority="8"/>
    <cfRule type="duplicateValues" dxfId="0" priority="7"/>
  </conditionalFormatting>
  <dataValidations count="1">
    <dataValidation allowBlank="1" showInputMessage="1" showErrorMessage="1" promptTitle="Datos Obligatorios" prompt="Debe ingresar valor/texto" sqref="A69 A88 A33:A37 A84:A85 A78:A80 A59:A64 A31" xr:uid="{C8973025-8A2A-410D-94B1-B42F7A360D9B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 Arturo Cruzalegui Contreras</dc:creator>
  <cp:keywords/>
  <dc:description/>
  <cp:lastModifiedBy/>
  <cp:revision/>
  <dcterms:created xsi:type="dcterms:W3CDTF">2026-03-11T16:35:08Z</dcterms:created>
  <dcterms:modified xsi:type="dcterms:W3CDTF">2026-09-08T22:39:06Z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